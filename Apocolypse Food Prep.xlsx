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C704A891-7C1F-4BC4-A985-FD4573CAEF11}" xr6:coauthVersionLast="47" xr6:coauthVersionMax="47" xr10:uidLastSave="{00000000-0000-0000-0000-000000000000}"/>
  <bookViews>
    <workbookView xWindow="-120" yWindow="-120" windowWidth="20730" windowHeight="11160" firstSheet="1" activeTab="5" xr2:uid="{00000000-000D-0000-FFFF-FFFF00000000}"/>
  </bookViews>
  <sheets>
    <sheet name="Apocolypse Store" sheetId="4" r:id="rId1"/>
    <sheet name="Apocolypse Sales" sheetId="5" r:id="rId2"/>
    <sheet name="Sheet5" sheetId="10" r:id="rId3"/>
    <sheet name="Sheet6" sheetId="11" r:id="rId4"/>
    <sheet name="Sheet7" sheetId="12" r:id="rId5"/>
    <sheet name="Sheet8" sheetId="13" r:id="rId6"/>
    <sheet name="Sheet4" sheetId="9" r:id="rId7"/>
    <sheet name="Sheet1" sheetId="6" r:id="rId8"/>
    <sheet name="Sheet2" sheetId="7" r:id="rId9"/>
  </sheets>
  <definedNames>
    <definedName name="_xlnm._FilterDatabase" localSheetId="1" hidden="1">'Apocolypse Sales'!$S$1:$S$11</definedName>
    <definedName name="_xlnm._FilterDatabase" localSheetId="7" hidden="1">Sheet1!$L$1:$N$76</definedName>
    <definedName name="_xlcn.WorksheetConnection_ApocolypseFoodPrep.xlsxAPOCOCO1" hidden="1">APOCOCO[]</definedName>
    <definedName name="_xlcn.WorksheetConnection_ApocolypseFoodPrep.xlsxAPOCOCO51" hidden="1">APOCOCO5[]</definedName>
    <definedName name="_xlcn.WorksheetConnection_ApocolypseFoodPrep.xlsxQUES31" hidden="1">QUES3[]</definedName>
    <definedName name="_xlcn.WorksheetConnection_ApocolypseFoodPrep.xlsxSTORE1" hidden="1">STORE[]</definedName>
    <definedName name="Slicer_product_name">#N/A</definedName>
    <definedName name="Timeline_Date_Purchased">#N/A</definedName>
  </definedNames>
  <calcPr calcId="191029"/>
  <pivotCaches>
    <pivotCache cacheId="0" r:id="rId10"/>
    <pivotCache cacheId="132" r:id="rId11"/>
    <pivotCache cacheId="135" r:id="rId12"/>
    <pivotCache cacheId="138" r:id="rId13"/>
  </pivotCaches>
  <extLst>
    <ext xmlns:x14="http://schemas.microsoft.com/office/spreadsheetml/2009/9/main" uri="{876F7934-8845-4945-9796-88D515C7AA90}">
      <x14:pivotCaches>
        <pivotCache cacheId="7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1"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OCOCO5" name="APOCOCO5" connection="WorksheetConnection_Apocolypse Food Prep.xlsx!APOCOCO5"/>
          <x15:modelTable id="STORE" name="STORE" connection="WorksheetConnection_Apocolypse Food Prep.xlsx!STORE"/>
          <x15:modelTable id="QUES3" name="QUES3" connection="WorksheetConnection_Apocolypse Food Prep.xlsx!QUES3"/>
          <x15:modelTable id="APOCOCO" name="APOCOCO" connection="WorksheetConnection_Apocolypse Food Prep.xlsx!APOCOCO"/>
        </x15:modelTables>
        <x15:modelRelationships>
          <x15:modelRelationship fromTable="APOCOCO5" fromColumn="Units Sold" toTable="STORE" toColumn="Product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9" l="1"/>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L2" i="5" l="1"/>
  <c r="M2" i="5" s="1"/>
  <c r="L3" i="5"/>
  <c r="M3" i="5" s="1"/>
  <c r="L4" i="5"/>
  <c r="M4" i="5" s="1"/>
  <c r="L5" i="5"/>
  <c r="M5" i="5" s="1"/>
  <c r="L6" i="5"/>
  <c r="M6" i="5" s="1"/>
  <c r="L7" i="5"/>
  <c r="M7" i="5" s="1"/>
  <c r="L8" i="5"/>
  <c r="M8" i="5" s="1"/>
  <c r="L9" i="5"/>
  <c r="M9" i="5" s="1"/>
  <c r="L10" i="5"/>
  <c r="M10" i="5" s="1"/>
  <c r="L11" i="5"/>
  <c r="M11" i="5" s="1"/>
  <c r="L12" i="5"/>
  <c r="M12" i="5" s="1"/>
  <c r="L13" i="5"/>
  <c r="M13" i="5" s="1"/>
  <c r="L14" i="5"/>
  <c r="M14" i="5" s="1"/>
  <c r="L15" i="5"/>
  <c r="M15" i="5" s="1"/>
  <c r="L16" i="5"/>
  <c r="M16" i="5" s="1"/>
  <c r="L17" i="5"/>
  <c r="M17" i="5" s="1"/>
  <c r="L18" i="5"/>
  <c r="M18" i="5" s="1"/>
  <c r="L19" i="5"/>
  <c r="M19" i="5" s="1"/>
  <c r="L20" i="5"/>
  <c r="M20" i="5" s="1"/>
  <c r="L21" i="5"/>
  <c r="M21" i="5" s="1"/>
  <c r="L22" i="5"/>
  <c r="M22" i="5" s="1"/>
  <c r="L23" i="5"/>
  <c r="M23"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M43" i="5" s="1"/>
  <c r="L44" i="5"/>
  <c r="M44" i="5" s="1"/>
  <c r="L45" i="5"/>
  <c r="M45" i="5" s="1"/>
  <c r="L46" i="5"/>
  <c r="M46" i="5" s="1"/>
  <c r="L47" i="5"/>
  <c r="M47" i="5" s="1"/>
  <c r="L48" i="5"/>
  <c r="M48" i="5" s="1"/>
  <c r="L49" i="5"/>
  <c r="M49" i="5" s="1"/>
  <c r="L50" i="5"/>
  <c r="M50" i="5" s="1"/>
  <c r="L51" i="5"/>
  <c r="M51" i="5" s="1"/>
  <c r="L52" i="5"/>
  <c r="M52" i="5" s="1"/>
  <c r="L53" i="5"/>
  <c r="M53" i="5" s="1"/>
  <c r="L54" i="5"/>
  <c r="M54" i="5" s="1"/>
  <c r="L55" i="5"/>
  <c r="M55" i="5" s="1"/>
  <c r="L56" i="5"/>
  <c r="M56" i="5" s="1"/>
  <c r="L57" i="5"/>
  <c r="M57" i="5" s="1"/>
  <c r="L58" i="5"/>
  <c r="M58" i="5" s="1"/>
  <c r="L59" i="5"/>
  <c r="M59" i="5" s="1"/>
  <c r="L60" i="5"/>
  <c r="M60" i="5" s="1"/>
  <c r="L61" i="5"/>
  <c r="M61" i="5" s="1"/>
  <c r="L62" i="5"/>
  <c r="M62" i="5" s="1"/>
  <c r="L63" i="5"/>
  <c r="M63" i="5" s="1"/>
  <c r="L64" i="5"/>
  <c r="M64" i="5" s="1"/>
  <c r="L65" i="5"/>
  <c r="M65" i="5" s="1"/>
  <c r="L66" i="5"/>
  <c r="M66" i="5" s="1"/>
  <c r="L67" i="5"/>
  <c r="M67" i="5" s="1"/>
  <c r="L68" i="5"/>
  <c r="M68" i="5" s="1"/>
  <c r="L69" i="5"/>
  <c r="M69" i="5" s="1"/>
  <c r="L70" i="5"/>
  <c r="M70" i="5" s="1"/>
  <c r="L71" i="5"/>
  <c r="M71" i="5" s="1"/>
  <c r="L72" i="5"/>
  <c r="M72" i="5" s="1"/>
  <c r="L73" i="5"/>
  <c r="M73" i="5" s="1"/>
  <c r="L74" i="5"/>
  <c r="M74" i="5" s="1"/>
  <c r="L75" i="5"/>
  <c r="M75" i="5" s="1"/>
  <c r="H75" i="7" l="1"/>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D19" i="5"/>
  <c r="D15" i="5"/>
  <c r="S5" i="5"/>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S2" i="5"/>
  <c r="S11" i="5"/>
  <c r="S10" i="5"/>
  <c r="S9" i="5"/>
  <c r="S8" i="5"/>
  <c r="S7" i="5"/>
  <c r="S6" i="5"/>
  <c r="S4" i="5"/>
  <c r="S3" i="5"/>
  <c r="D2" i="5"/>
  <c r="D3" i="5"/>
  <c r="D4" i="5"/>
  <c r="D5" i="5"/>
  <c r="D6" i="5"/>
  <c r="D7" i="5"/>
  <c r="D8" i="5"/>
  <c r="D9" i="5"/>
  <c r="D10" i="5"/>
  <c r="D11" i="5"/>
  <c r="D12" i="5"/>
  <c r="D13" i="5"/>
  <c r="D14" i="5"/>
  <c r="D16" i="5"/>
  <c r="D17" i="5"/>
  <c r="D18"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C3" i="6"/>
  <c r="C10" i="6"/>
  <c r="C11" i="6"/>
  <c r="C9" i="6"/>
  <c r="J2" i="5"/>
  <c r="K2" i="5" s="1"/>
  <c r="C4" i="6"/>
  <c r="C5" i="6"/>
  <c r="C6" i="6"/>
  <c r="J3" i="5"/>
  <c r="K3" i="5" s="1"/>
  <c r="J4" i="5"/>
  <c r="K4" i="5" s="1"/>
  <c r="J5" i="5"/>
  <c r="K5" i="5" s="1"/>
  <c r="J6" i="5"/>
  <c r="K6" i="5" s="1"/>
  <c r="J7" i="5"/>
  <c r="K7" i="5" s="1"/>
  <c r="J8" i="5"/>
  <c r="K8" i="5" s="1"/>
  <c r="J9" i="5"/>
  <c r="K9" i="5" s="1"/>
  <c r="J10" i="5"/>
  <c r="K10" i="5" s="1"/>
  <c r="J11" i="5"/>
  <c r="K11" i="5" s="1"/>
  <c r="J12" i="5"/>
  <c r="K12" i="5" s="1"/>
  <c r="J13" i="5"/>
  <c r="K13" i="5" s="1"/>
  <c r="J14" i="5"/>
  <c r="K14" i="5" s="1"/>
  <c r="J15" i="5"/>
  <c r="K15" i="5" s="1"/>
  <c r="J16" i="5"/>
  <c r="K16" i="5" s="1"/>
  <c r="J17" i="5"/>
  <c r="K17" i="5" s="1"/>
  <c r="J18" i="5"/>
  <c r="K18" i="5" s="1"/>
  <c r="J19" i="5"/>
  <c r="K19" i="5" s="1"/>
  <c r="J20" i="5"/>
  <c r="K20" i="5" s="1"/>
  <c r="J21" i="5"/>
  <c r="K21" i="5" s="1"/>
  <c r="J22" i="5"/>
  <c r="K22" i="5" s="1"/>
  <c r="J23" i="5"/>
  <c r="K23" i="5" s="1"/>
  <c r="J24" i="5"/>
  <c r="K24" i="5" s="1"/>
  <c r="J25" i="5"/>
  <c r="K25" i="5" s="1"/>
  <c r="J26" i="5"/>
  <c r="K26" i="5" s="1"/>
  <c r="J27" i="5"/>
  <c r="K27" i="5" s="1"/>
  <c r="J28" i="5"/>
  <c r="K28" i="5" s="1"/>
  <c r="J29" i="5"/>
  <c r="K29" i="5" s="1"/>
  <c r="J30" i="5"/>
  <c r="K30" i="5" s="1"/>
  <c r="J31" i="5"/>
  <c r="K31" i="5" s="1"/>
  <c r="J32" i="5"/>
  <c r="K32" i="5" s="1"/>
  <c r="J33" i="5"/>
  <c r="K33" i="5" s="1"/>
  <c r="J34" i="5"/>
  <c r="K34" i="5" s="1"/>
  <c r="J35" i="5"/>
  <c r="K35" i="5" s="1"/>
  <c r="J36" i="5"/>
  <c r="K36" i="5" s="1"/>
  <c r="J37" i="5"/>
  <c r="K37" i="5" s="1"/>
  <c r="J38" i="5"/>
  <c r="K38" i="5" s="1"/>
  <c r="J39" i="5"/>
  <c r="K39" i="5" s="1"/>
  <c r="J40" i="5"/>
  <c r="K40" i="5" s="1"/>
  <c r="J41" i="5"/>
  <c r="K41" i="5" s="1"/>
  <c r="J42" i="5"/>
  <c r="K42" i="5" s="1"/>
  <c r="J43" i="5"/>
  <c r="K43" i="5" s="1"/>
  <c r="J44" i="5"/>
  <c r="K44" i="5" s="1"/>
  <c r="J45" i="5"/>
  <c r="K45" i="5" s="1"/>
  <c r="J46" i="5"/>
  <c r="K46" i="5" s="1"/>
  <c r="J47" i="5"/>
  <c r="K47" i="5" s="1"/>
  <c r="J48" i="5"/>
  <c r="K48" i="5" s="1"/>
  <c r="J49" i="5"/>
  <c r="K49" i="5" s="1"/>
  <c r="J50" i="5"/>
  <c r="K50" i="5" s="1"/>
  <c r="J51" i="5"/>
  <c r="K51" i="5" s="1"/>
  <c r="J52" i="5"/>
  <c r="K52" i="5" s="1"/>
  <c r="J53" i="5"/>
  <c r="K53" i="5" s="1"/>
  <c r="J54" i="5"/>
  <c r="K54" i="5" s="1"/>
  <c r="J55" i="5"/>
  <c r="K55" i="5" s="1"/>
  <c r="J56" i="5"/>
  <c r="K56" i="5" s="1"/>
  <c r="J57" i="5"/>
  <c r="K57" i="5" s="1"/>
  <c r="J58" i="5"/>
  <c r="K58" i="5" s="1"/>
  <c r="J59" i="5"/>
  <c r="K59" i="5" s="1"/>
  <c r="J60" i="5"/>
  <c r="K60" i="5" s="1"/>
  <c r="J61" i="5"/>
  <c r="K61" i="5" s="1"/>
  <c r="J62" i="5"/>
  <c r="K62" i="5" s="1"/>
  <c r="J63" i="5"/>
  <c r="K63" i="5" s="1"/>
  <c r="J64" i="5"/>
  <c r="K64" i="5" s="1"/>
  <c r="J65" i="5"/>
  <c r="K65" i="5" s="1"/>
  <c r="J66" i="5"/>
  <c r="K66" i="5" s="1"/>
  <c r="J67" i="5"/>
  <c r="K67" i="5" s="1"/>
  <c r="J68" i="5"/>
  <c r="K68" i="5" s="1"/>
  <c r="J69" i="5"/>
  <c r="K69" i="5" s="1"/>
  <c r="J70" i="5"/>
  <c r="K70" i="5" s="1"/>
  <c r="J71" i="5"/>
  <c r="K71" i="5" s="1"/>
  <c r="J72" i="5"/>
  <c r="K72" i="5" s="1"/>
  <c r="J73" i="5"/>
  <c r="K73" i="5" s="1"/>
  <c r="J74" i="5"/>
  <c r="K74" i="5" s="1"/>
  <c r="J75" i="5"/>
  <c r="K75" i="5" s="1"/>
  <c r="N74" i="5" l="1"/>
  <c r="P74" i="5"/>
  <c r="O74" i="5" s="1"/>
  <c r="N69" i="5"/>
  <c r="P69" i="5"/>
  <c r="O69" i="5"/>
  <c r="N68" i="5"/>
  <c r="P68" i="5"/>
  <c r="O68" i="5" s="1"/>
  <c r="N60" i="5"/>
  <c r="P60" i="5"/>
  <c r="O60" i="5"/>
  <c r="N75" i="5"/>
  <c r="O75" i="5"/>
  <c r="P75" i="5"/>
  <c r="N71" i="5"/>
  <c r="P71" i="5"/>
  <c r="O71" i="5" s="1"/>
  <c r="N67" i="5"/>
  <c r="O67" i="5"/>
  <c r="P67" i="5"/>
  <c r="N63" i="5"/>
  <c r="P63" i="5"/>
  <c r="O63" i="5" s="1"/>
  <c r="N59" i="5"/>
  <c r="O59" i="5"/>
  <c r="P59" i="5"/>
  <c r="N55" i="5"/>
  <c r="P55" i="5"/>
  <c r="O55" i="5" s="1"/>
  <c r="N51" i="5"/>
  <c r="O51" i="5"/>
  <c r="P51" i="5"/>
  <c r="N47" i="5"/>
  <c r="P47" i="5"/>
  <c r="O47" i="5" s="1"/>
  <c r="N43" i="5"/>
  <c r="O43" i="5"/>
  <c r="P43" i="5"/>
  <c r="N39" i="5"/>
  <c r="P39" i="5"/>
  <c r="O39" i="5" s="1"/>
  <c r="N35" i="5"/>
  <c r="O35" i="5"/>
  <c r="P35" i="5"/>
  <c r="N31" i="5"/>
  <c r="P31" i="5"/>
  <c r="O31" i="5" s="1"/>
  <c r="N27" i="5"/>
  <c r="O27" i="5"/>
  <c r="P27" i="5"/>
  <c r="N23" i="5"/>
  <c r="P23" i="5"/>
  <c r="O23" i="5" s="1"/>
  <c r="N19" i="5"/>
  <c r="O19" i="5"/>
  <c r="P19" i="5"/>
  <c r="N15" i="5"/>
  <c r="P15" i="5"/>
  <c r="O15" i="5" s="1"/>
  <c r="N11" i="5"/>
  <c r="O11" i="5"/>
  <c r="P11" i="5"/>
  <c r="N7" i="5"/>
  <c r="P7" i="5"/>
  <c r="O7" i="5" s="1"/>
  <c r="N3" i="5"/>
  <c r="O3" i="5"/>
  <c r="P3" i="5"/>
  <c r="N2" i="5"/>
  <c r="O2" i="5"/>
  <c r="P2" i="5"/>
  <c r="N70" i="5"/>
  <c r="O70" i="5"/>
  <c r="P70" i="5"/>
  <c r="N62" i="5"/>
  <c r="P62" i="5"/>
  <c r="O62" i="5" s="1"/>
  <c r="N58" i="5"/>
  <c r="P58" i="5"/>
  <c r="O58" i="5" s="1"/>
  <c r="N54" i="5"/>
  <c r="O54" i="5"/>
  <c r="P54" i="5"/>
  <c r="N50" i="5"/>
  <c r="O50" i="5"/>
  <c r="P50" i="5"/>
  <c r="N46" i="5"/>
  <c r="P46" i="5"/>
  <c r="O46" i="5" s="1"/>
  <c r="N42" i="5"/>
  <c r="P42" i="5"/>
  <c r="O42" i="5" s="1"/>
  <c r="N38" i="5"/>
  <c r="O38" i="5"/>
  <c r="P38" i="5"/>
  <c r="N34" i="5"/>
  <c r="O34" i="5"/>
  <c r="P34" i="5"/>
  <c r="N30" i="5"/>
  <c r="P30" i="5"/>
  <c r="O30" i="5" s="1"/>
  <c r="N26" i="5"/>
  <c r="P26" i="5"/>
  <c r="O26" i="5" s="1"/>
  <c r="N22" i="5"/>
  <c r="O22" i="5"/>
  <c r="P22" i="5"/>
  <c r="N18" i="5"/>
  <c r="O18" i="5"/>
  <c r="P18" i="5"/>
  <c r="N14" i="5"/>
  <c r="P14" i="5"/>
  <c r="O14" i="5" s="1"/>
  <c r="N10" i="5"/>
  <c r="P10" i="5"/>
  <c r="O10" i="5" s="1"/>
  <c r="N6" i="5"/>
  <c r="O6" i="5"/>
  <c r="P6" i="5"/>
  <c r="N73" i="5"/>
  <c r="P73" i="5"/>
  <c r="O73" i="5" s="1"/>
  <c r="N65" i="5"/>
  <c r="P65" i="5"/>
  <c r="O65" i="5"/>
  <c r="N61" i="5"/>
  <c r="P61" i="5"/>
  <c r="O61" i="5"/>
  <c r="N57" i="5"/>
  <c r="P57" i="5"/>
  <c r="O57" i="5" s="1"/>
  <c r="N53" i="5"/>
  <c r="P53" i="5"/>
  <c r="O53" i="5" s="1"/>
  <c r="N49" i="5"/>
  <c r="P49" i="5"/>
  <c r="O49" i="5"/>
  <c r="N45" i="5"/>
  <c r="P45" i="5"/>
  <c r="O45" i="5"/>
  <c r="N41" i="5"/>
  <c r="P41" i="5"/>
  <c r="O41" i="5" s="1"/>
  <c r="N37" i="5"/>
  <c r="P37" i="5"/>
  <c r="O37" i="5" s="1"/>
  <c r="N33" i="5"/>
  <c r="P33" i="5"/>
  <c r="O33" i="5"/>
  <c r="N29" i="5"/>
  <c r="P29" i="5"/>
  <c r="O29" i="5"/>
  <c r="N25" i="5"/>
  <c r="P25" i="5"/>
  <c r="O25" i="5" s="1"/>
  <c r="N21" i="5"/>
  <c r="P21" i="5"/>
  <c r="O21" i="5" s="1"/>
  <c r="N17" i="5"/>
  <c r="P17" i="5"/>
  <c r="O17" i="5"/>
  <c r="N13" i="5"/>
  <c r="P13" i="5"/>
  <c r="O13" i="5"/>
  <c r="N9" i="5"/>
  <c r="P9" i="5"/>
  <c r="O9" i="5" s="1"/>
  <c r="N5" i="5"/>
  <c r="P5" i="5"/>
  <c r="O5" i="5" s="1"/>
  <c r="N66" i="5"/>
  <c r="P66" i="5"/>
  <c r="O66" i="5" s="1"/>
  <c r="N72" i="5"/>
  <c r="P72" i="5"/>
  <c r="O72" i="5"/>
  <c r="N64" i="5"/>
  <c r="P64" i="5"/>
  <c r="O64" i="5" s="1"/>
  <c r="N56" i="5"/>
  <c r="P56" i="5"/>
  <c r="O56" i="5" s="1"/>
  <c r="N52" i="5"/>
  <c r="P52" i="5"/>
  <c r="O52" i="5"/>
  <c r="N48" i="5"/>
  <c r="P48" i="5"/>
  <c r="O48" i="5"/>
  <c r="N44" i="5"/>
  <c r="P44" i="5"/>
  <c r="O44" i="5" s="1"/>
  <c r="N40" i="5"/>
  <c r="P40" i="5"/>
  <c r="O40" i="5" s="1"/>
  <c r="N36" i="5"/>
  <c r="P36" i="5"/>
  <c r="O36" i="5"/>
  <c r="N32" i="5"/>
  <c r="P32" i="5"/>
  <c r="O32" i="5"/>
  <c r="N28" i="5"/>
  <c r="P28" i="5"/>
  <c r="O28" i="5" s="1"/>
  <c r="N24" i="5"/>
  <c r="P24" i="5"/>
  <c r="O24" i="5" s="1"/>
  <c r="N20" i="5"/>
  <c r="P20" i="5"/>
  <c r="O20" i="5"/>
  <c r="N16" i="5"/>
  <c r="P16" i="5"/>
  <c r="O16" i="5"/>
  <c r="N12" i="5"/>
  <c r="P12" i="5"/>
  <c r="O12" i="5" s="1"/>
  <c r="N8" i="5"/>
  <c r="P8" i="5"/>
  <c r="O8" i="5" s="1"/>
  <c r="N4" i="5"/>
  <c r="P4" i="5"/>
  <c r="O4" i="5"/>
  <c r="X5" i="6"/>
  <c r="X4" i="6"/>
  <c r="X6" i="6"/>
  <c r="X3" i="6"/>
  <c r="C14" i="6"/>
  <c r="T8" i="5"/>
  <c r="T2" i="5"/>
  <c r="T4" i="5"/>
  <c r="T10" i="5"/>
  <c r="T7" i="5"/>
  <c r="T11" i="5"/>
  <c r="T3" i="5"/>
  <c r="T5" i="5"/>
  <c r="T6" i="5"/>
  <c r="T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72B4C8-46A1-4844-A1DF-B386A9326C9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3010F2B-8170-45CF-9FBC-A972D97F021E}" name="WorksheetConnection_Apocolypse Food Prep.xlsx!APOCOCO" type="102" refreshedVersion="7" minRefreshableVersion="5">
    <extLst>
      <ext xmlns:x15="http://schemas.microsoft.com/office/spreadsheetml/2010/11/main" uri="{DE250136-89BD-433C-8126-D09CA5730AF9}">
        <x15:connection id="APOCOCO">
          <x15:rangePr sourceName="_xlcn.WorksheetConnection_ApocolypseFoodPrep.xlsxAPOCOCO1"/>
        </x15:connection>
      </ext>
    </extLst>
  </connection>
  <connection id="3" xr16:uid="{CB8787C9-7C67-4A96-AFA0-A00F50B0B767}" name="WorksheetConnection_Apocolypse Food Prep.xlsx!APOCOCO5" type="102" refreshedVersion="7" minRefreshableVersion="5">
    <extLst>
      <ext xmlns:x15="http://schemas.microsoft.com/office/spreadsheetml/2010/11/main" uri="{DE250136-89BD-433C-8126-D09CA5730AF9}">
        <x15:connection id="APOCOCO5">
          <x15:rangePr sourceName="_xlcn.WorksheetConnection_ApocolypseFoodPrep.xlsxAPOCOCO51"/>
        </x15:connection>
      </ext>
    </extLst>
  </connection>
  <connection id="4" xr16:uid="{55FD45C7-330A-4C4A-A728-015C390DA393}" name="WorksheetConnection_Apocolypse Food Prep.xlsx!QUES3" type="102" refreshedVersion="7" minRefreshableVersion="5">
    <extLst>
      <ext xmlns:x15="http://schemas.microsoft.com/office/spreadsheetml/2010/11/main" uri="{DE250136-89BD-433C-8126-D09CA5730AF9}">
        <x15:connection id="QUES3">
          <x15:rangePr sourceName="_xlcn.WorksheetConnection_ApocolypseFoodPrep.xlsxQUES31"/>
        </x15:connection>
      </ext>
    </extLst>
  </connection>
  <connection id="5" xr16:uid="{901FF04E-180A-4849-9FAB-F09D5F594D49}" name="WorksheetConnection_Apocolypse Food Prep.xlsx!STORE" type="102" refreshedVersion="7" minRefreshableVersion="5">
    <extLst>
      <ext xmlns:x15="http://schemas.microsoft.com/office/spreadsheetml/2010/11/main" uri="{DE250136-89BD-433C-8126-D09CA5730AF9}">
        <x15:connection id="STORE">
          <x15:rangePr sourceName="_xlcn.WorksheetConnection_ApocolypseFoodPrep.xlsxSTORE1"/>
        </x15:connection>
      </ext>
    </extLst>
  </connection>
</connections>
</file>

<file path=xl/sharedStrings.xml><?xml version="1.0" encoding="utf-8"?>
<sst xmlns="http://schemas.openxmlformats.org/spreadsheetml/2006/main" count="526" uniqueCount="50">
  <si>
    <t>Price</t>
  </si>
  <si>
    <t>Duct Tape</t>
  </si>
  <si>
    <t>Customer</t>
  </si>
  <si>
    <t>Product ID</t>
  </si>
  <si>
    <t>Order ID</t>
  </si>
  <si>
    <t>Units Sold</t>
  </si>
  <si>
    <t>Product Name</t>
  </si>
  <si>
    <t>Production Cost</t>
  </si>
  <si>
    <t xml:space="preserve">Stainless Steel Axe </t>
  </si>
  <si>
    <t>Backpack</t>
  </si>
  <si>
    <t>Multitool Survivial Knife</t>
  </si>
  <si>
    <t>Solar Battery Flashlight</t>
  </si>
  <si>
    <t>Weatherproof Jacket</t>
  </si>
  <si>
    <t>Nylon Rope</t>
  </si>
  <si>
    <t>Waterproof Matches</t>
  </si>
  <si>
    <t>Water Purifier</t>
  </si>
  <si>
    <t>N95 Mask</t>
  </si>
  <si>
    <t>Uncle Joe's Prep Shop</t>
  </si>
  <si>
    <t xml:space="preserve">Alex The Analyst Apocolype Preppers </t>
  </si>
  <si>
    <t>Apocolypse Preppers United</t>
  </si>
  <si>
    <t>Prep4Anything Prepping Store</t>
  </si>
  <si>
    <t>Date Purchased</t>
  </si>
  <si>
    <t>S/N</t>
  </si>
  <si>
    <t>TOTAL SALES</t>
  </si>
  <si>
    <t xml:space="preserve"> NO OF OCCURENCES</t>
  </si>
  <si>
    <t>DATE</t>
  </si>
  <si>
    <t>JANUARY</t>
  </si>
  <si>
    <t>FEBRUARY</t>
  </si>
  <si>
    <t>MARCH</t>
  </si>
  <si>
    <t>product name</t>
  </si>
  <si>
    <t>PRODUCT NAME</t>
  </si>
  <si>
    <t>DAY</t>
  </si>
  <si>
    <t>DAY OF THE MONTH WITH HIGHEST ORDER</t>
  </si>
  <si>
    <t>PRODUCT WITH LOWEST ORDER</t>
  </si>
  <si>
    <t>customer</t>
  </si>
  <si>
    <t>DATE PURCHASE BY UNIT SOLD</t>
  </si>
  <si>
    <t>CUSTOMER BY SALES</t>
  </si>
  <si>
    <t>CUSTOMER BY PRODUCT BY UNITSOLD</t>
  </si>
  <si>
    <t>SELLING PRICE</t>
  </si>
  <si>
    <t>COST PRICE</t>
  </si>
  <si>
    <t>TOTAL COST PRICE</t>
  </si>
  <si>
    <t>PROFIT</t>
  </si>
  <si>
    <t>COST OF GOODS SOLD</t>
  </si>
  <si>
    <t>VAT</t>
  </si>
  <si>
    <t>Count of product name</t>
  </si>
  <si>
    <t>Row Labels</t>
  </si>
  <si>
    <t>Grand Total</t>
  </si>
  <si>
    <t>Sum of Units Sold</t>
  </si>
  <si>
    <t>Alex The Analyst Apocolype Preppers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</si>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</sst>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49" fontId="0" fillId="0" borderId="0" xfId="0" applyNumberFormat="1"/>
    <xf numFmtId="0" fontId="0" fillId="0" borderId="1" xfId="0" applyFont="1" applyBorder="1"/>
    <xf numFmtId="164" fontId="0" fillId="0" borderId="0" xfId="0" applyNumberFormat="1"/>
    <xf numFmtId="164" fontId="0" fillId="0" borderId="1" xfId="0" applyNumberFormat="1" applyFont="1" applyBorder="1"/>
    <xf numFmtId="165"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164" formatCode="[$-F800]dddd\,\ mmmm\ dd\,\ yyyy"/>
    </dxf>
    <dxf>
      <numFmt numFmtId="0" formatCode="General"/>
    </dxf>
    <dxf>
      <font>
        <color rgb="FF9C0006"/>
      </font>
      <fill>
        <patternFill>
          <bgColor rgb="FFFFC7CE"/>
        </patternFill>
      </fill>
    </dxf>
    <dxf>
      <numFmt numFmtId="0" formatCode="General"/>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F800]dddd\,\ mmmm\ dd\,\ yyyy"/>
    </dxf>
    <dxf>
      <numFmt numFmtId="0" formatCode="Genera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Sheet6!$C$3</c:f>
              <c:strCache>
                <c:ptCount val="1"/>
                <c:pt idx="0">
                  <c:v>Total</c:v>
                </c:pt>
              </c:strCache>
            </c:strRef>
          </c:tx>
          <c:spPr>
            <a:solidFill>
              <a:schemeClr val="accent1"/>
            </a:solidFill>
            <a:ln>
              <a:noFill/>
            </a:ln>
            <a:effectLst/>
          </c:spPr>
          <c:invertIfNegative val="0"/>
          <c:cat>
            <c:strRef>
              <c:f>Sheet6!$B$4:$B$5</c:f>
              <c:strCache>
                <c:ptCount val="1"/>
                <c:pt idx="0">
                  <c:v>Backpack</c:v>
                </c:pt>
              </c:strCache>
            </c:strRef>
          </c:cat>
          <c:val>
            <c:numRef>
              <c:f>Sheet6!$C$4:$C$5</c:f>
              <c:numCache>
                <c:formatCode>General</c:formatCode>
                <c:ptCount val="1"/>
                <c:pt idx="0">
                  <c:v>3001</c:v>
                </c:pt>
              </c:numCache>
            </c:numRef>
          </c:val>
          <c:extLst>
            <c:ext xmlns:c16="http://schemas.microsoft.com/office/drawing/2014/chart" uri="{C3380CC4-5D6E-409C-BE32-E72D297353CC}">
              <c16:uniqueId val="{00000000-A88E-4176-A3A7-E9CDB769623B}"/>
            </c:ext>
          </c:extLst>
        </c:ser>
        <c:dLbls>
          <c:showLegendKey val="0"/>
          <c:showVal val="0"/>
          <c:showCatName val="0"/>
          <c:showSerName val="0"/>
          <c:showPercent val="0"/>
          <c:showBubbleSize val="0"/>
        </c:dLbls>
        <c:gapWidth val="219"/>
        <c:overlap val="-27"/>
        <c:axId val="2130721072"/>
        <c:axId val="2130720240"/>
      </c:barChart>
      <c:catAx>
        <c:axId val="21307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20240"/>
        <c:crosses val="autoZero"/>
        <c:auto val="1"/>
        <c:lblAlgn val="ctr"/>
        <c:lblOffset val="100"/>
        <c:noMultiLvlLbl val="0"/>
      </c:catAx>
      <c:valAx>
        <c:axId val="21307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Sheet6!$G$3</c:f>
              <c:strCache>
                <c:ptCount val="1"/>
                <c:pt idx="0">
                  <c:v>Total</c:v>
                </c:pt>
              </c:strCache>
            </c:strRef>
          </c:tx>
          <c:spPr>
            <a:solidFill>
              <a:schemeClr val="accent1"/>
            </a:solidFill>
            <a:ln>
              <a:noFill/>
            </a:ln>
            <a:effectLst/>
          </c:spPr>
          <c:invertIfNegative val="0"/>
          <c:cat>
            <c:strRef>
              <c:f>Sheet6!$F$4:$F$8</c:f>
              <c:strCache>
                <c:ptCount val="4"/>
                <c:pt idx="0">
                  <c:v>Alex The Analyst Apocolype Preppers</c:v>
                </c:pt>
                <c:pt idx="1">
                  <c:v>Apocolypse Preppers United</c:v>
                </c:pt>
                <c:pt idx="2">
                  <c:v>Prep4Anything Prepping Store</c:v>
                </c:pt>
                <c:pt idx="3">
                  <c:v>Uncle Joe's Prep Shop</c:v>
                </c:pt>
              </c:strCache>
            </c:strRef>
          </c:cat>
          <c:val>
            <c:numRef>
              <c:f>Sheet6!$G$4:$G$8</c:f>
              <c:numCache>
                <c:formatCode>General</c:formatCode>
                <c:ptCount val="4"/>
                <c:pt idx="0">
                  <c:v>3001</c:v>
                </c:pt>
                <c:pt idx="1">
                  <c:v>3001</c:v>
                </c:pt>
                <c:pt idx="2">
                  <c:v>3001</c:v>
                </c:pt>
                <c:pt idx="3">
                  <c:v>3001</c:v>
                </c:pt>
              </c:numCache>
            </c:numRef>
          </c:val>
          <c:extLst>
            <c:ext xmlns:c16="http://schemas.microsoft.com/office/drawing/2014/chart" uri="{C3380CC4-5D6E-409C-BE32-E72D297353CC}">
              <c16:uniqueId val="{00000000-B734-43B7-B515-C5A6FF3187AA}"/>
            </c:ext>
          </c:extLst>
        </c:ser>
        <c:dLbls>
          <c:showLegendKey val="0"/>
          <c:showVal val="0"/>
          <c:showCatName val="0"/>
          <c:showSerName val="0"/>
          <c:showPercent val="0"/>
          <c:showBubbleSize val="0"/>
        </c:dLbls>
        <c:gapWidth val="219"/>
        <c:overlap val="-27"/>
        <c:axId val="598318032"/>
        <c:axId val="598320944"/>
      </c:barChart>
      <c:catAx>
        <c:axId val="59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0944"/>
        <c:crosses val="autoZero"/>
        <c:auto val="1"/>
        <c:lblAlgn val="ctr"/>
        <c:lblOffset val="100"/>
        <c:noMultiLvlLbl val="0"/>
      </c:catAx>
      <c:valAx>
        <c:axId val="59832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1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Sheet6!$G$11</c:f>
              <c:strCache>
                <c:ptCount val="1"/>
                <c:pt idx="0">
                  <c:v>Total</c:v>
                </c:pt>
              </c:strCache>
            </c:strRef>
          </c:tx>
          <c:spPr>
            <a:ln w="28575" cap="rnd">
              <a:solidFill>
                <a:schemeClr val="accent1"/>
              </a:solidFill>
              <a:round/>
            </a:ln>
            <a:effectLst/>
          </c:spPr>
          <c:marker>
            <c:symbol val="none"/>
          </c:marker>
          <c:cat>
            <c:strRef>
              <c:f>Sheet6!$F$12:$F$13</c:f>
              <c:strCache>
                <c:ptCount val="1"/>
                <c:pt idx="0">
                  <c:v>Backpack</c:v>
                </c:pt>
              </c:strCache>
            </c:strRef>
          </c:cat>
          <c:val>
            <c:numRef>
              <c:f>Sheet6!$G$12:$G$13</c:f>
              <c:numCache>
                <c:formatCode>General</c:formatCode>
                <c:ptCount val="1"/>
                <c:pt idx="0">
                  <c:v>43212.429999999993</c:v>
                </c:pt>
              </c:numCache>
            </c:numRef>
          </c:val>
          <c:smooth val="0"/>
          <c:extLst>
            <c:ext xmlns:c16="http://schemas.microsoft.com/office/drawing/2014/chart" uri="{C3380CC4-5D6E-409C-BE32-E72D297353CC}">
              <c16:uniqueId val="{00000000-5978-43ED-A3B6-C10A8CE5A943}"/>
            </c:ext>
          </c:extLst>
        </c:ser>
        <c:dLbls>
          <c:showLegendKey val="0"/>
          <c:showVal val="0"/>
          <c:showCatName val="0"/>
          <c:showSerName val="0"/>
          <c:showPercent val="0"/>
          <c:showBubbleSize val="0"/>
        </c:dLbls>
        <c:smooth val="0"/>
        <c:axId val="598329264"/>
        <c:axId val="598318448"/>
      </c:lineChart>
      <c:catAx>
        <c:axId val="5983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18448"/>
        <c:crosses val="autoZero"/>
        <c:auto val="1"/>
        <c:lblAlgn val="ctr"/>
        <c:lblOffset val="100"/>
        <c:noMultiLvlLbl val="0"/>
      </c:catAx>
      <c:valAx>
        <c:axId val="59831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Sheet6!$C$3</c:f>
              <c:strCache>
                <c:ptCount val="1"/>
                <c:pt idx="0">
                  <c:v>Total</c:v>
                </c:pt>
              </c:strCache>
            </c:strRef>
          </c:tx>
          <c:spPr>
            <a:solidFill>
              <a:schemeClr val="accent1"/>
            </a:solidFill>
            <a:ln>
              <a:noFill/>
            </a:ln>
            <a:effectLst/>
          </c:spPr>
          <c:invertIfNegative val="0"/>
          <c:cat>
            <c:strRef>
              <c:f>Sheet6!$B$4:$B$5</c:f>
              <c:strCache>
                <c:ptCount val="1"/>
                <c:pt idx="0">
                  <c:v>Backpack</c:v>
                </c:pt>
              </c:strCache>
            </c:strRef>
          </c:cat>
          <c:val>
            <c:numRef>
              <c:f>Sheet6!$C$4:$C$5</c:f>
              <c:numCache>
                <c:formatCode>General</c:formatCode>
                <c:ptCount val="1"/>
                <c:pt idx="0">
                  <c:v>3001</c:v>
                </c:pt>
              </c:numCache>
            </c:numRef>
          </c:val>
          <c:extLst>
            <c:ext xmlns:c16="http://schemas.microsoft.com/office/drawing/2014/chart" uri="{C3380CC4-5D6E-409C-BE32-E72D297353CC}">
              <c16:uniqueId val="{00000000-F241-4017-9DBA-F39142E3B471}"/>
            </c:ext>
          </c:extLst>
        </c:ser>
        <c:dLbls>
          <c:showLegendKey val="0"/>
          <c:showVal val="0"/>
          <c:showCatName val="0"/>
          <c:showSerName val="0"/>
          <c:showPercent val="0"/>
          <c:showBubbleSize val="0"/>
        </c:dLbls>
        <c:gapWidth val="219"/>
        <c:overlap val="-27"/>
        <c:axId val="2130721072"/>
        <c:axId val="2130720240"/>
      </c:barChart>
      <c:catAx>
        <c:axId val="21307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20240"/>
        <c:crosses val="autoZero"/>
        <c:auto val="1"/>
        <c:lblAlgn val="ctr"/>
        <c:lblOffset val="100"/>
        <c:noMultiLvlLbl val="0"/>
      </c:catAx>
      <c:valAx>
        <c:axId val="213072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Prep.xlsx]Sheet6!2</c:name>
    <c:fmtId val="4"/>
  </c:pivotSource>
  <c:chart>
    <c:title>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Sheet6!$G$3</c:f>
              <c:strCache>
                <c:ptCount val="1"/>
                <c:pt idx="0">
                  <c:v>Total</c:v>
                </c:pt>
              </c:strCache>
            </c:strRef>
          </c:tx>
          <c:spPr>
            <a:solidFill>
              <a:schemeClr val="accent1"/>
            </a:solidFill>
            <a:ln>
              <a:noFill/>
            </a:ln>
            <a:effectLst/>
          </c:spPr>
          <c:invertIfNegative val="0"/>
          <c:cat>
            <c:strRef>
              <c:f>Sheet6!$F$4:$F$8</c:f>
              <c:strCache>
                <c:ptCount val="4"/>
                <c:pt idx="0">
                  <c:v>Alex The Analyst Apocolype Preppers</c:v>
                </c:pt>
                <c:pt idx="1">
                  <c:v>Apocolypse Preppers United</c:v>
                </c:pt>
                <c:pt idx="2">
                  <c:v>Prep4Anything Prepping Store</c:v>
                </c:pt>
                <c:pt idx="3">
                  <c:v>Uncle Joe's Prep Shop</c:v>
                </c:pt>
              </c:strCache>
            </c:strRef>
          </c:cat>
          <c:val>
            <c:numRef>
              <c:f>Sheet6!$G$4:$G$8</c:f>
              <c:numCache>
                <c:formatCode>General</c:formatCode>
                <c:ptCount val="4"/>
                <c:pt idx="0">
                  <c:v>3001</c:v>
                </c:pt>
                <c:pt idx="1">
                  <c:v>3001</c:v>
                </c:pt>
                <c:pt idx="2">
                  <c:v>3001</c:v>
                </c:pt>
                <c:pt idx="3">
                  <c:v>3001</c:v>
                </c:pt>
              </c:numCache>
            </c:numRef>
          </c:val>
          <c:extLst>
            <c:ext xmlns:c16="http://schemas.microsoft.com/office/drawing/2014/chart" uri="{C3380CC4-5D6E-409C-BE32-E72D297353CC}">
              <c16:uniqueId val="{00000000-E980-4AF7-8BD7-F06376C72DA8}"/>
            </c:ext>
          </c:extLst>
        </c:ser>
        <c:dLbls>
          <c:showLegendKey val="0"/>
          <c:showVal val="0"/>
          <c:showCatName val="0"/>
          <c:showSerName val="0"/>
          <c:showPercent val="0"/>
          <c:showBubbleSize val="0"/>
        </c:dLbls>
        <c:gapWidth val="219"/>
        <c:overlap val="-27"/>
        <c:axId val="598318032"/>
        <c:axId val="598320944"/>
      </c:barChart>
      <c:catAx>
        <c:axId val="59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0944"/>
        <c:crosses val="autoZero"/>
        <c:auto val="1"/>
        <c:lblAlgn val="ctr"/>
        <c:lblOffset val="100"/>
        <c:noMultiLvlLbl val="0"/>
      </c:catAx>
      <c:valAx>
        <c:axId val="59832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1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dbl" algn="ctr">
      <a:solidFill>
        <a:schemeClr val="dk1">
          <a:shade val="50000"/>
          <a:alpha val="98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[Apocolypse Food Prep.xlsx]Sheet6!3</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Sheet6!$G$11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Sheet6!$F$12:$F$13</c:f>
              <c:strCache>
                <c:ptCount val="1"/>
                <c:pt idx="0">
                  <c:v>Backpack</c:v>
                </c:pt>
              </c:strCache>
            </c:strRef>
          </c:cat>
          <c:val>
            <c:numRef>
              <c:f>Sheet6!$G$12:$G$13</c:f>
              <c:numCache>
                <c:formatCode>General</c:formatCode>
                <c:ptCount val="1"/>
                <c:pt idx="0">
                  <c:v>43212.429999999993</c:v>
                </c:pt>
              </c:numCache>
            </c:numRef>
          </c:val>
          <c:smooth val="0"/>
          <c:extLst>
            <c:ext xmlns:c16="http://schemas.microsoft.com/office/drawing/2014/chart" uri="{C3380CC4-5D6E-409C-BE32-E72D297353CC}">
              <c16:uniqueId val="{00000000-74DC-4648-9AC4-BF95583DD4C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98329264"/>
        <c:axId val="598318448"/>
      </c:lineChart>
      <c:catAx>
        <c:axId val="5983292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98318448"/>
        <c:crosses val="autoZero"/>
        <c:auto val="1"/>
        <c:lblAlgn val="ctr"/>
        <c:lblOffset val="100"/>
        <c:noMultiLvlLbl val="0"/>
      </c:catAx>
      <c:valAx>
        <c:axId val="598318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83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flip="none" rotWithShape="1">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400049</xdr:colOff>
      <xdr:row>6</xdr:row>
      <xdr:rowOff>104776</xdr:rowOff>
    </xdr:from>
    <xdr:to>
      <xdr:col>13</xdr:col>
      <xdr:colOff>152400</xdr:colOff>
      <xdr:row>15</xdr:row>
      <xdr:rowOff>161926</xdr:rowOff>
    </xdr:to>
    <mc:AlternateContent xmlns:mc="http://schemas.openxmlformats.org/markup-compatibility/2006">
      <mc:Choice xmlns:a14="http://schemas.microsoft.com/office/drawing/2010/main" Requires="a14">
        <xdr:graphicFrame macro="">
          <xdr:nvGraphicFramePr>
            <xdr:cNvPr id="2" name="product name">
              <a:extLst>
                <a:ext uri="{FF2B5EF4-FFF2-40B4-BE49-F238E27FC236}">
                  <a16:creationId xmlns:a16="http://schemas.microsoft.com/office/drawing/2014/main" id="{13A91768-80F0-4847-9C80-82471B20DDB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5905499" y="1247776"/>
              <a:ext cx="3409951" cy="1771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15</xdr:row>
      <xdr:rowOff>57150</xdr:rowOff>
    </xdr:from>
    <xdr:to>
      <xdr:col>5</xdr:col>
      <xdr:colOff>704850</xdr:colOff>
      <xdr:row>22</xdr:row>
      <xdr:rowOff>95250</xdr:rowOff>
    </xdr:to>
    <mc:AlternateContent xmlns:mc="http://schemas.openxmlformats.org/markup-compatibility/2006">
      <mc:Choice xmlns:tsle="http://schemas.microsoft.com/office/drawing/2012/timeslicer" Requires="tsle">
        <xdr:graphicFrame macro="">
          <xdr:nvGraphicFramePr>
            <xdr:cNvPr id="3" name="Date Purchased">
              <a:extLst>
                <a:ext uri="{FF2B5EF4-FFF2-40B4-BE49-F238E27FC236}">
                  <a16:creationId xmlns:a16="http://schemas.microsoft.com/office/drawing/2014/main" id="{456E46F3-82EB-4B14-B3D6-4D16A5C05755}"/>
                </a:ext>
              </a:extLst>
            </xdr:cNvPr>
            <xdr:cNvGraphicFramePr/>
          </xdr:nvGraphicFramePr>
          <xdr:xfrm>
            <a:off x="0" y="0"/>
            <a:ext cx="0" cy="0"/>
          </xdr:xfrm>
          <a:graphic>
            <a:graphicData uri="http://schemas.microsoft.com/office/drawing/2012/timeslicer">
              <tsle:timeslicer xmlns:tsle="http://schemas.microsoft.com/office/drawing/2012/timeslicer" name="Date Purchased"/>
            </a:graphicData>
          </a:graphic>
        </xdr:graphicFrame>
      </mc:Choice>
      <mc:Fallback>
        <xdr:sp macro="" textlink="">
          <xdr:nvSpPr>
            <xdr:cNvPr id="0" name=""/>
            <xdr:cNvSpPr>
              <a:spLocks noTextEdit="1"/>
            </xdr:cNvSpPr>
          </xdr:nvSpPr>
          <xdr:spPr>
            <a:xfrm>
              <a:off x="1066800" y="291465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0</xdr:colOff>
      <xdr:row>0</xdr:row>
      <xdr:rowOff>119062</xdr:rowOff>
    </xdr:from>
    <xdr:to>
      <xdr:col>5</xdr:col>
      <xdr:colOff>104775</xdr:colOff>
      <xdr:row>15</xdr:row>
      <xdr:rowOff>4762</xdr:rowOff>
    </xdr:to>
    <xdr:graphicFrame macro="">
      <xdr:nvGraphicFramePr>
        <xdr:cNvPr id="4" name="Chart 3">
          <a:extLst>
            <a:ext uri="{FF2B5EF4-FFF2-40B4-BE49-F238E27FC236}">
              <a16:creationId xmlns:a16="http://schemas.microsoft.com/office/drawing/2014/main" id="{87D6C5EB-8882-406E-88A0-6A48EF679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71437</xdr:rowOff>
    </xdr:from>
    <xdr:to>
      <xdr:col>5</xdr:col>
      <xdr:colOff>104775</xdr:colOff>
      <xdr:row>15</xdr:row>
      <xdr:rowOff>147637</xdr:rowOff>
    </xdr:to>
    <xdr:graphicFrame macro="">
      <xdr:nvGraphicFramePr>
        <xdr:cNvPr id="5" name="Chart 4">
          <a:extLst>
            <a:ext uri="{FF2B5EF4-FFF2-40B4-BE49-F238E27FC236}">
              <a16:creationId xmlns:a16="http://schemas.microsoft.com/office/drawing/2014/main" id="{822AAC7E-7A3C-41FB-BD91-20976DEF8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4</xdr:row>
      <xdr:rowOff>14287</xdr:rowOff>
    </xdr:from>
    <xdr:to>
      <xdr:col>6</xdr:col>
      <xdr:colOff>904875</xdr:colOff>
      <xdr:row>18</xdr:row>
      <xdr:rowOff>90487</xdr:rowOff>
    </xdr:to>
    <xdr:graphicFrame macro="">
      <xdr:nvGraphicFramePr>
        <xdr:cNvPr id="6" name="Chart 5">
          <a:extLst>
            <a:ext uri="{FF2B5EF4-FFF2-40B4-BE49-F238E27FC236}">
              <a16:creationId xmlns:a16="http://schemas.microsoft.com/office/drawing/2014/main" id="{5C9A5FBA-6371-495E-B13E-303B02AE8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457200</xdr:colOff>
      <xdr:row>7</xdr:row>
      <xdr:rowOff>76200</xdr:rowOff>
    </xdr:from>
    <xdr:to>
      <xdr:col>22</xdr:col>
      <xdr:colOff>209550</xdr:colOff>
      <xdr:row>17</xdr:row>
      <xdr:rowOff>9525</xdr:rowOff>
    </xdr:to>
    <xdr:sp macro="" textlink="">
      <xdr:nvSpPr>
        <xdr:cNvPr id="11" name="Rectangle 10">
          <a:extLst>
            <a:ext uri="{FF2B5EF4-FFF2-40B4-BE49-F238E27FC236}">
              <a16:creationId xmlns:a16="http://schemas.microsoft.com/office/drawing/2014/main" id="{88D34CAF-5339-4EF1-9DDE-610CD86488B4}"/>
            </a:ext>
          </a:extLst>
        </xdr:cNvPr>
        <xdr:cNvSpPr/>
      </xdr:nvSpPr>
      <xdr:spPr>
        <a:xfrm>
          <a:off x="10591800" y="1409700"/>
          <a:ext cx="2800350" cy="18383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66675</xdr:rowOff>
    </xdr:from>
    <xdr:to>
      <xdr:col>16</xdr:col>
      <xdr:colOff>514350</xdr:colOff>
      <xdr:row>26</xdr:row>
      <xdr:rowOff>57149</xdr:rowOff>
    </xdr:to>
    <xdr:sp macro="" textlink="">
      <xdr:nvSpPr>
        <xdr:cNvPr id="2" name="Rectangle 1">
          <a:extLst>
            <a:ext uri="{FF2B5EF4-FFF2-40B4-BE49-F238E27FC236}">
              <a16:creationId xmlns:a16="http://schemas.microsoft.com/office/drawing/2014/main" id="{A54D296E-881F-4357-B5AA-65B9CF946099}"/>
            </a:ext>
          </a:extLst>
        </xdr:cNvPr>
        <xdr:cNvSpPr/>
      </xdr:nvSpPr>
      <xdr:spPr>
        <a:xfrm>
          <a:off x="0" y="66675"/>
          <a:ext cx="10039350" cy="4943474"/>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133350</xdr:colOff>
      <xdr:row>2</xdr:row>
      <xdr:rowOff>85725</xdr:rowOff>
    </xdr:from>
    <xdr:to>
      <xdr:col>11</xdr:col>
      <xdr:colOff>76200</xdr:colOff>
      <xdr:row>5</xdr:row>
      <xdr:rowOff>57150</xdr:rowOff>
    </xdr:to>
    <xdr:sp macro="" textlink="">
      <xdr:nvSpPr>
        <xdr:cNvPr id="3" name="TextBox 2">
          <a:extLst>
            <a:ext uri="{FF2B5EF4-FFF2-40B4-BE49-F238E27FC236}">
              <a16:creationId xmlns:a16="http://schemas.microsoft.com/office/drawing/2014/main" id="{E4CD0215-A863-48C7-AF1B-AFA1EB0D5794}"/>
            </a:ext>
          </a:extLst>
        </xdr:cNvPr>
        <xdr:cNvSpPr txBox="1"/>
      </xdr:nvSpPr>
      <xdr:spPr>
        <a:xfrm>
          <a:off x="2343150" y="466725"/>
          <a:ext cx="421005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rgbClr val="FF0000"/>
              </a:solidFill>
            </a:rPr>
            <a:t>apocalypse dataset dashboard</a:t>
          </a:r>
        </a:p>
      </xdr:txBody>
    </xdr:sp>
    <xdr:clientData/>
  </xdr:twoCellAnchor>
  <xdr:twoCellAnchor>
    <xdr:from>
      <xdr:col>2</xdr:col>
      <xdr:colOff>381000</xdr:colOff>
      <xdr:row>15</xdr:row>
      <xdr:rowOff>47625</xdr:rowOff>
    </xdr:from>
    <xdr:to>
      <xdr:col>7</xdr:col>
      <xdr:colOff>133350</xdr:colOff>
      <xdr:row>24</xdr:row>
      <xdr:rowOff>85725</xdr:rowOff>
    </xdr:to>
    <xdr:sp macro="" textlink="">
      <xdr:nvSpPr>
        <xdr:cNvPr id="4" name="Rectangle 3">
          <a:extLst>
            <a:ext uri="{FF2B5EF4-FFF2-40B4-BE49-F238E27FC236}">
              <a16:creationId xmlns:a16="http://schemas.microsoft.com/office/drawing/2014/main" id="{4C56B9A0-8F1E-43B8-BF6A-01EB64CC7C43}"/>
            </a:ext>
          </a:extLst>
        </xdr:cNvPr>
        <xdr:cNvSpPr/>
      </xdr:nvSpPr>
      <xdr:spPr>
        <a:xfrm>
          <a:off x="1371600" y="2905125"/>
          <a:ext cx="2800350" cy="175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390525</xdr:colOff>
      <xdr:row>5</xdr:row>
      <xdr:rowOff>133350</xdr:rowOff>
    </xdr:from>
    <xdr:to>
      <xdr:col>7</xdr:col>
      <xdr:colOff>142875</xdr:colOff>
      <xdr:row>14</xdr:row>
      <xdr:rowOff>171450</xdr:rowOff>
    </xdr:to>
    <xdr:sp macro="" textlink="">
      <xdr:nvSpPr>
        <xdr:cNvPr id="5" name="Rectangle 4">
          <a:extLst>
            <a:ext uri="{FF2B5EF4-FFF2-40B4-BE49-F238E27FC236}">
              <a16:creationId xmlns:a16="http://schemas.microsoft.com/office/drawing/2014/main" id="{7E4DC55C-0450-41F0-A225-8D7037587A60}"/>
            </a:ext>
          </a:extLst>
        </xdr:cNvPr>
        <xdr:cNvSpPr/>
      </xdr:nvSpPr>
      <xdr:spPr>
        <a:xfrm>
          <a:off x="1381125" y="1085850"/>
          <a:ext cx="2800350" cy="175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171450</xdr:colOff>
      <xdr:row>6</xdr:row>
      <xdr:rowOff>133350</xdr:rowOff>
    </xdr:from>
    <xdr:to>
      <xdr:col>22</xdr:col>
      <xdr:colOff>533400</xdr:colOff>
      <xdr:row>15</xdr:row>
      <xdr:rowOff>171450</xdr:rowOff>
    </xdr:to>
    <xdr:sp macro="" textlink="">
      <xdr:nvSpPr>
        <xdr:cNvPr id="6" name="Rectangle 5">
          <a:extLst>
            <a:ext uri="{FF2B5EF4-FFF2-40B4-BE49-F238E27FC236}">
              <a16:creationId xmlns:a16="http://schemas.microsoft.com/office/drawing/2014/main" id="{32634C0A-C48B-4EB8-80BB-24D2A0681D22}"/>
            </a:ext>
          </a:extLst>
        </xdr:cNvPr>
        <xdr:cNvSpPr/>
      </xdr:nvSpPr>
      <xdr:spPr>
        <a:xfrm>
          <a:off x="10915650" y="1276350"/>
          <a:ext cx="2800350" cy="175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428625</xdr:colOff>
      <xdr:row>6</xdr:row>
      <xdr:rowOff>28574</xdr:rowOff>
    </xdr:from>
    <xdr:to>
      <xdr:col>16</xdr:col>
      <xdr:colOff>276225</xdr:colOff>
      <xdr:row>22</xdr:row>
      <xdr:rowOff>38099</xdr:rowOff>
    </xdr:to>
    <xdr:sp macro="" textlink="">
      <xdr:nvSpPr>
        <xdr:cNvPr id="7" name="Rectangle 6">
          <a:extLst>
            <a:ext uri="{FF2B5EF4-FFF2-40B4-BE49-F238E27FC236}">
              <a16:creationId xmlns:a16="http://schemas.microsoft.com/office/drawing/2014/main" id="{DAF68CE6-987C-4F14-ACB7-D5BE251D1B61}"/>
            </a:ext>
          </a:extLst>
        </xdr:cNvPr>
        <xdr:cNvSpPr/>
      </xdr:nvSpPr>
      <xdr:spPr>
        <a:xfrm>
          <a:off x="4467225" y="1171574"/>
          <a:ext cx="5334000" cy="30575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428625</xdr:colOff>
      <xdr:row>7</xdr:row>
      <xdr:rowOff>123824</xdr:rowOff>
    </xdr:from>
    <xdr:to>
      <xdr:col>23</xdr:col>
      <xdr:colOff>180975</xdr:colOff>
      <xdr:row>15</xdr:row>
      <xdr:rowOff>95249</xdr:rowOff>
    </xdr:to>
    <xdr:sp macro="" textlink="">
      <xdr:nvSpPr>
        <xdr:cNvPr id="8" name="Rectangle 7">
          <a:extLst>
            <a:ext uri="{FF2B5EF4-FFF2-40B4-BE49-F238E27FC236}">
              <a16:creationId xmlns:a16="http://schemas.microsoft.com/office/drawing/2014/main" id="{346B7EFF-C4C4-4B21-A675-1E7DFBC6BC47}"/>
            </a:ext>
          </a:extLst>
        </xdr:cNvPr>
        <xdr:cNvSpPr/>
      </xdr:nvSpPr>
      <xdr:spPr>
        <a:xfrm>
          <a:off x="11172825" y="1457324"/>
          <a:ext cx="2800350" cy="1495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123825</xdr:colOff>
      <xdr:row>5</xdr:row>
      <xdr:rowOff>85725</xdr:rowOff>
    </xdr:from>
    <xdr:to>
      <xdr:col>22</xdr:col>
      <xdr:colOff>485775</xdr:colOff>
      <xdr:row>14</xdr:row>
      <xdr:rowOff>123825</xdr:rowOff>
    </xdr:to>
    <xdr:sp macro="" textlink="">
      <xdr:nvSpPr>
        <xdr:cNvPr id="9" name="Rectangle 8">
          <a:extLst>
            <a:ext uri="{FF2B5EF4-FFF2-40B4-BE49-F238E27FC236}">
              <a16:creationId xmlns:a16="http://schemas.microsoft.com/office/drawing/2014/main" id="{5DD39763-65A1-41A7-B98D-EF2D34AB9D2F}"/>
            </a:ext>
          </a:extLst>
        </xdr:cNvPr>
        <xdr:cNvSpPr/>
      </xdr:nvSpPr>
      <xdr:spPr>
        <a:xfrm>
          <a:off x="10868025" y="1038225"/>
          <a:ext cx="2800350" cy="175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571500</xdr:colOff>
      <xdr:row>6</xdr:row>
      <xdr:rowOff>114300</xdr:rowOff>
    </xdr:from>
    <xdr:to>
      <xdr:col>22</xdr:col>
      <xdr:colOff>323850</xdr:colOff>
      <xdr:row>15</xdr:row>
      <xdr:rowOff>152400</xdr:rowOff>
    </xdr:to>
    <xdr:sp macro="" textlink="">
      <xdr:nvSpPr>
        <xdr:cNvPr id="10" name="Rectangle 9">
          <a:extLst>
            <a:ext uri="{FF2B5EF4-FFF2-40B4-BE49-F238E27FC236}">
              <a16:creationId xmlns:a16="http://schemas.microsoft.com/office/drawing/2014/main" id="{3D830AE1-830E-4B09-AE95-A9DDB3D27912}"/>
            </a:ext>
          </a:extLst>
        </xdr:cNvPr>
        <xdr:cNvSpPr/>
      </xdr:nvSpPr>
      <xdr:spPr>
        <a:xfrm>
          <a:off x="10706100" y="1257300"/>
          <a:ext cx="2800350" cy="175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9525</xdr:colOff>
      <xdr:row>10</xdr:row>
      <xdr:rowOff>161925</xdr:rowOff>
    </xdr:from>
    <xdr:to>
      <xdr:col>19</xdr:col>
      <xdr:colOff>209550</xdr:colOff>
      <xdr:row>11</xdr:row>
      <xdr:rowOff>95250</xdr:rowOff>
    </xdr:to>
    <xdr:sp macro="" textlink="">
      <xdr:nvSpPr>
        <xdr:cNvPr id="12" name="Rectangle 11">
          <a:extLst>
            <a:ext uri="{FF2B5EF4-FFF2-40B4-BE49-F238E27FC236}">
              <a16:creationId xmlns:a16="http://schemas.microsoft.com/office/drawing/2014/main" id="{0B0432A8-63D0-4A5E-8E52-4F5395C03870}"/>
            </a:ext>
          </a:extLst>
        </xdr:cNvPr>
        <xdr:cNvSpPr/>
      </xdr:nvSpPr>
      <xdr:spPr>
        <a:xfrm>
          <a:off x="11363325" y="2066925"/>
          <a:ext cx="200025" cy="123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400050</xdr:colOff>
      <xdr:row>5</xdr:row>
      <xdr:rowOff>152401</xdr:rowOff>
    </xdr:from>
    <xdr:to>
      <xdr:col>7</xdr:col>
      <xdr:colOff>133350</xdr:colOff>
      <xdr:row>14</xdr:row>
      <xdr:rowOff>133351</xdr:rowOff>
    </xdr:to>
    <xdr:graphicFrame macro="">
      <xdr:nvGraphicFramePr>
        <xdr:cNvPr id="13" name="Chart 12">
          <a:extLst>
            <a:ext uri="{FF2B5EF4-FFF2-40B4-BE49-F238E27FC236}">
              <a16:creationId xmlns:a16="http://schemas.microsoft.com/office/drawing/2014/main" id="{505CE44D-3CD5-4C2C-86C0-75F7237D3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428624</xdr:colOff>
      <xdr:row>6</xdr:row>
      <xdr:rowOff>66674</xdr:rowOff>
    </xdr:from>
    <xdr:to>
      <xdr:col>16</xdr:col>
      <xdr:colOff>304799</xdr:colOff>
      <xdr:row>22</xdr:row>
      <xdr:rowOff>114300</xdr:rowOff>
    </xdr:to>
    <xdr:graphicFrame macro="">
      <xdr:nvGraphicFramePr>
        <xdr:cNvPr id="14" name="Chart 13">
          <a:extLst>
            <a:ext uri="{FF2B5EF4-FFF2-40B4-BE49-F238E27FC236}">
              <a16:creationId xmlns:a16="http://schemas.microsoft.com/office/drawing/2014/main" id="{6A0BA916-75D2-4E06-8F97-9DD99E315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409575</xdr:colOff>
      <xdr:row>15</xdr:row>
      <xdr:rowOff>38099</xdr:rowOff>
    </xdr:from>
    <xdr:to>
      <xdr:col>7</xdr:col>
      <xdr:colOff>114300</xdr:colOff>
      <xdr:row>24</xdr:row>
      <xdr:rowOff>85724</xdr:rowOff>
    </xdr:to>
    <xdr:graphicFrame macro="">
      <xdr:nvGraphicFramePr>
        <xdr:cNvPr id="18" name="Chart 17">
          <a:extLst>
            <a:ext uri="{FF2B5EF4-FFF2-40B4-BE49-F238E27FC236}">
              <a16:creationId xmlns:a16="http://schemas.microsoft.com/office/drawing/2014/main" id="{2BC75818-4F77-4A18-AA80-683E0705B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355.465243402781" createdVersion="7" refreshedVersion="7" minRefreshableVersion="3" recordCount="74" xr:uid="{0738682F-E6C0-45EC-98D6-1A00007F1335}">
  <cacheSource type="worksheet">
    <worksheetSource name="APOCOCO5"/>
  </cacheSource>
  <cacheFields count="9">
    <cacheField name="S/N" numFmtId="0">
      <sharedItems containsSemiMixedTypes="0" containsString="0" containsNumber="1" containsInteger="1" minValue="1" maxValue="74"/>
    </cacheField>
    <cacheField name="Customer" numFmtId="0">
      <sharedItems count="4">
        <s v="Uncle Joe's Prep Shop"/>
        <s v="Alex The Analyst Apocolype Preppers "/>
        <s v="Apocolypse Preppers United"/>
        <s v="Prep4Anything Prepping Store"/>
      </sharedItems>
    </cacheField>
    <cacheField name="Product ID" numFmtId="0">
      <sharedItems containsSemiMixedTypes="0" containsString="0" containsNumber="1" containsInteger="1" minValue="10001" maxValue="10010"/>
    </cacheField>
    <cacheField name="product name" numFmtId="0">
      <sharedItems/>
    </cacheField>
    <cacheField name="Order ID" numFmtId="0">
      <sharedItems containsSemiMixedTypes="0" containsString="0" containsNumber="1" containsInteger="1" minValue="1043" maxValue="9996"/>
    </cacheField>
    <cacheField name="Units Sold" numFmtId="0">
      <sharedItems containsSemiMixedTypes="0" containsString="0" containsNumber="1" containsInteger="1" minValue="2" maxValue="78" count="49">
        <n v="32"/>
        <n v="68"/>
        <n v="69"/>
        <n v="48"/>
        <n v="70"/>
        <n v="6"/>
        <n v="59"/>
        <n v="72"/>
        <n v="67"/>
        <n v="7"/>
        <n v="23"/>
        <n v="56"/>
        <n v="51"/>
        <n v="2"/>
        <n v="45"/>
        <n v="13"/>
        <n v="4"/>
        <n v="78"/>
        <n v="73"/>
        <n v="30"/>
        <n v="49"/>
        <n v="66"/>
        <n v="5"/>
        <n v="71"/>
        <n v="57"/>
        <n v="9"/>
        <n v="16"/>
        <n v="46"/>
        <n v="50"/>
        <n v="11"/>
        <n v="55"/>
        <n v="58"/>
        <n v="19"/>
        <n v="54"/>
        <n v="60"/>
        <n v="76"/>
        <n v="26"/>
        <n v="35"/>
        <n v="27"/>
        <n v="41"/>
        <n v="36"/>
        <n v="75"/>
        <n v="42"/>
        <n v="10"/>
        <n v="53"/>
        <n v="17"/>
        <n v="61"/>
        <n v="37"/>
        <n v="24"/>
      </sharedItems>
    </cacheField>
    <cacheField name="DATE" numFmtId="0">
      <sharedItems/>
    </cacheField>
    <cacheField name="DAY" numFmtId="0">
      <sharedItems containsSemiMixedTypes="0" containsString="0" containsNumber="1" containsInteger="1" minValue="1" maxValue="74"/>
    </cacheField>
    <cacheField name="Date Purchased" numFmtId="164">
      <sharedItems containsSemiMixedTypes="0" containsNonDate="0" containsDate="1" containsString="0" minDate="2022-01-01T00:00:00" maxDate="2022-03-1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364.452393055559" createdVersion="5" refreshedVersion="7" minRefreshableVersion="3" recordCount="0" supportSubquery="1" supportAdvancedDrill="1" xr:uid="{D2B2897D-E69E-4B5F-9269-05EE635154BF}">
  <cacheSource type="external" connectionId="1"/>
  <cacheFields count="3">
    <cacheField name="[APOCOCO5].[product name].[product name]" caption="product name" numFmtId="0" hierarchy="19" level="1">
      <sharedItems count="1">
        <s v="Backpack"/>
      </sharedItems>
    </cacheField>
    <cacheField name="[Measures].[Sum of Units Sold]" caption="Sum of Units Sold" numFmtId="0" hierarchy="37" level="32767"/>
    <cacheField name="[APOCOCO5].[Date Purchased].[Date Purchased]" caption="Date Purchased" numFmtId="0" hierarchy="24" level="1">
      <sharedItems containsSemiMixedTypes="0" containsNonDate="0" containsString="0"/>
    </cacheField>
  </cacheFields>
  <cacheHierarchies count="39">
    <cacheHierarchy uniqueName="[APOCOCO].[S/N]" caption="S/N" attribute="1" defaultMemberUniqueName="[APOCOCO].[S/N].[All]" allUniqueName="[APOCOCO].[S/N].[All]" dimensionUniqueName="[APOCOCO]" displayFolder="" count="0" memberValueDatatype="20" unbalanced="0"/>
    <cacheHierarchy uniqueName="[APOCOCO].[Customer]" caption="Customer" attribute="1" defaultMemberUniqueName="[APOCOCO].[Customer].[All]" allUniqueName="[APOCOCO].[Customer].[All]" dimensionUniqueName="[APOCOCO]" displayFolder="" count="0" memberValueDatatype="130" unbalanced="0"/>
    <cacheHierarchy uniqueName="[APOCOCO].[Product ID]" caption="Product ID" attribute="1" defaultMemberUniqueName="[APOCOCO].[Product ID].[All]" allUniqueName="[APOCOCO].[Product ID].[All]" dimensionUniqueName="[APOCOCO]" displayFolder="" count="0" memberValueDatatype="20" unbalanced="0"/>
    <cacheHierarchy uniqueName="[APOCOCO].[product name]" caption="product name" attribute="1" defaultMemberUniqueName="[APOCOCO].[product name].[All]" allUniqueName="[APOCOCO].[product name].[All]" dimensionUniqueName="[APOCOCO]" displayFolder="" count="0" memberValueDatatype="130" unbalanced="0"/>
    <cacheHierarchy uniqueName="[APOCOCO].[Order ID]" caption="Order ID" attribute="1" defaultMemberUniqueName="[APOCOCO].[Order ID].[All]" allUniqueName="[APOCOCO].[Order ID].[All]" dimensionUniqueName="[APOCOCO]" displayFolder="" count="0" memberValueDatatype="20" unbalanced="0"/>
    <cacheHierarchy uniqueName="[APOCOCO].[Units Sold]" caption="Units Sold" attribute="1" defaultMemberUniqueName="[APOCOCO].[Units Sold].[All]" allUniqueName="[APOCOCO].[Units Sold].[All]" dimensionUniqueName="[APOCOCO]" displayFolder="" count="0" memberValueDatatype="20" unbalanced="0"/>
    <cacheHierarchy uniqueName="[APOCOCO].[DATE]" caption="DATE" attribute="1" defaultMemberUniqueName="[APOCOCO].[DATE].[All]" allUniqueName="[APOCOCO].[DATE].[All]" dimensionUniqueName="[APOCOCO]" displayFolder="" count="0" memberValueDatatype="130" unbalanced="0"/>
    <cacheHierarchy uniqueName="[APOCOCO].[DAY]" caption="DAY" attribute="1" defaultMemberUniqueName="[APOCOCO].[DAY].[All]" allUniqueName="[APOCOCO].[DAY].[All]" dimensionUniqueName="[APOCOCO]" displayFolder="" count="0" memberValueDatatype="20" unbalanced="0"/>
    <cacheHierarchy uniqueName="[APOCOCO].[Date Purchased]" caption="Date Purchased" attribute="1" time="1" defaultMemberUniqueName="[APOCOCO].[Date Purchased].[All]" allUniqueName="[APOCOCO].[Date Purchased].[All]" dimensionUniqueName="[APOCOCO]" displayFolder="" count="0" memberValueDatatype="7" unbalanced="0"/>
    <cacheHierarchy uniqueName="[APOCOCO].[SELLING PRICE]" caption="SELLING PRICE" attribute="1" defaultMemberUniqueName="[APOCOCO].[SELLING PRICE].[All]" allUniqueName="[APOCOCO].[SELLING PRICE].[All]" dimensionUniqueName="[APOCOCO]" displayFolder="" count="0" memberValueDatatype="5" unbalanced="0"/>
    <cacheHierarchy uniqueName="[APOCOCO].[TOTAL SALES]" caption="TOTAL SALES" attribute="1" defaultMemberUniqueName="[APOCOCO].[TOTAL SALES].[All]" allUniqueName="[APOCOCO].[TOTAL SALES].[All]" dimensionUniqueName="[APOCOCO]" displayFolder="" count="0" memberValueDatatype="5" unbalanced="0"/>
    <cacheHierarchy uniqueName="[APOCOCO].[COST PRICE]" caption="COST PRICE" attribute="1" defaultMemberUniqueName="[APOCOCO].[COST PRICE].[All]" allUniqueName="[APOCOCO].[COST PRICE].[All]" dimensionUniqueName="[APOCOCO]" displayFolder="" count="0" memberValueDatatype="5" unbalanced="0"/>
    <cacheHierarchy uniqueName="[APOCOCO].[TOTAL COST PRICE]" caption="TOTAL COST PRICE" attribute="1" defaultMemberUniqueName="[APOCOCO].[TOTAL COST PRICE].[All]" allUniqueName="[APOCOCO].[TOTAL COST PRICE].[All]" dimensionUniqueName="[APOCOCO]" displayFolder="" count="0" memberValueDatatype="5" unbalanced="0"/>
    <cacheHierarchy uniqueName="[APOCOCO].[PROFIT]" caption="PROFIT" attribute="1" defaultMemberUniqueName="[APOCOCO].[PROFIT].[All]" allUniqueName="[APOCOCO].[PROFIT].[All]" dimensionUniqueName="[APOCOCO]" displayFolder="" count="0" memberValueDatatype="5" unbalanced="0"/>
    <cacheHierarchy uniqueName="[APOCOCO].[COST OF GOODS SOLD]" caption="COST OF GOODS SOLD" attribute="1" defaultMemberUniqueName="[APOCOCO].[COST OF GOODS SOLD].[All]" allUniqueName="[APOCOCO].[COST OF GOODS SOLD].[All]" dimensionUniqueName="[APOCOCO]" displayFolder="" count="0" memberValueDatatype="5" unbalanced="0"/>
    <cacheHierarchy uniqueName="[APOCOCO].[VAT]" caption="VAT" attribute="1" defaultMemberUniqueName="[APOCOCO].[VAT].[All]" allUniqueName="[APOCOCO].[VAT].[All]" dimensionUniqueName="[APOCOCO]" displayFolder="" count="0" memberValueDatatype="5" unbalanced="0"/>
    <cacheHierarchy uniqueName="[APOCOCO5].[S/N]" caption="S/N" attribute="1" defaultMemberUniqueName="[APOCOCO5].[S/N].[All]" allUniqueName="[APOCOCO5].[S/N].[All]" dimensionUniqueName="[APOCOCO5]" displayFolder="" count="0" memberValueDatatype="20" unbalanced="0"/>
    <cacheHierarchy uniqueName="[APOCOCO5].[Customer]" caption="Customer" attribute="1" defaultMemberUniqueName="[APOCOCO5].[Customer].[All]" allUniqueName="[APOCOCO5].[Customer].[All]" dimensionUniqueName="[APOCOCO5]" displayFolder="" count="0" memberValueDatatype="130" unbalanced="0"/>
    <cacheHierarchy uniqueName="[APOCOCO5].[Product ID]" caption="Product ID" attribute="1" defaultMemberUniqueName="[APOCOCO5].[Product ID].[All]" allUniqueName="[APOCOCO5].[Product ID].[All]" dimensionUniqueName="[APOCOCO5]" displayFolder="" count="0" memberValueDatatype="20" unbalanced="0"/>
    <cacheHierarchy uniqueName="[APOCOCO5].[product name]" caption="product name" attribute="1" defaultMemberUniqueName="[APOCOCO5].[product name].[All]" allUniqueName="[APOCOCO5].[product name].[All]" dimensionUniqueName="[APOCOCO5]" displayFolder="" count="2" memberValueDatatype="130" unbalanced="0">
      <fieldsUsage count="2">
        <fieldUsage x="-1"/>
        <fieldUsage x="0"/>
      </fieldsUsage>
    </cacheHierarchy>
    <cacheHierarchy uniqueName="[APOCOCO5].[Order ID]" caption="Order ID" attribute="1" defaultMemberUniqueName="[APOCOCO5].[Order ID].[All]" allUniqueName="[APOCOCO5].[Order ID].[All]" dimensionUniqueName="[APOCOCO5]" displayFolder="" count="0" memberValueDatatype="20" unbalanced="0"/>
    <cacheHierarchy uniqueName="[APOCOCO5].[Units Sold]" caption="Units Sold" attribute="1" defaultMemberUniqueName="[APOCOCO5].[Units Sold].[All]" allUniqueName="[APOCOCO5].[Units Sold].[All]" dimensionUniqueName="[APOCOCO5]" displayFolder="" count="0" memberValueDatatype="20" unbalanced="0"/>
    <cacheHierarchy uniqueName="[APOCOCO5].[DATE]" caption="DATE" attribute="1" defaultMemberUniqueName="[APOCOCO5].[DATE].[All]" allUniqueName="[APOCOCO5].[DATE].[All]" dimensionUniqueName="[APOCOCO5]" displayFolder="" count="0" memberValueDatatype="130" unbalanced="0"/>
    <cacheHierarchy uniqueName="[APOCOCO5].[DAY]" caption="DAY" attribute="1" defaultMemberUniqueName="[APOCOCO5].[DAY].[All]" allUniqueName="[APOCOCO5].[DAY].[All]" dimensionUniqueName="[APOCOCO5]" displayFolder="" count="0" memberValueDatatype="20" unbalanced="0"/>
    <cacheHierarchy uniqueName="[APOCOCO5].[Date Purchased]" caption="Date Purchased" attribute="1" time="1" defaultMemberUniqueName="[APOCOCO5].[Date Purchased].[All]" allUniqueName="[APOCOCO5].[Date Purchased].[All]" dimensionUniqueName="[APOCOCO5]" displayFolder="" count="2" memberValueDatatype="7" unbalanced="0">
      <fieldsUsage count="2">
        <fieldUsage x="-1"/>
        <fieldUsage x="2"/>
      </fieldsUsage>
    </cacheHierarchy>
    <cacheHierarchy uniqueName="[QUES3].[customer]" caption="customer" attribute="1" defaultMemberUniqueName="[QUES3].[customer].[All]" allUniqueName="[QUES3].[customer].[All]" dimensionUniqueName="[QUES3]" displayFolder="" count="0" memberValueDatatype="130" unbalanced="0"/>
    <cacheHierarchy uniqueName="[QUES3].[product name]" caption="product name" attribute="1" defaultMemberUniqueName="[QUES3].[product name].[All]" allUniqueName="[QUES3].[product name].[All]" dimensionUniqueName="[QUES3]" displayFolder="" count="0" memberValueDatatype="130" unbalanced="0"/>
    <cacheHierarchy uniqueName="[QUES3].[Units Sold]" caption="Units Sold" attribute="1" defaultMemberUniqueName="[QUES3].[Units Sold].[All]" allUniqueName="[QUES3].[Units Sold].[All]" dimensionUniqueName="[QUES3]" displayFolder="" count="0" memberValueDatatype="20" unbalanced="0"/>
    <cacheHierarchy uniqueName="[STORE].[Product ID]" caption="Product ID" attribute="1" defaultMemberUniqueName="[STORE].[Product ID].[All]" allUniqueName="[STORE].[Product ID].[All]" dimensionUniqueName="[STORE]" displayFolder="" count="0" memberValueDatatype="20" unbalanced="0"/>
    <cacheHierarchy uniqueName="[STORE].[Product Name]" caption="Product Name" attribute="1" defaultMemberUniqueName="[STORE].[Product Name].[All]" allUniqueName="[STORE].[Product Name].[All]" dimensionUniqueName="[STORE]" displayFolder="" count="0" memberValueDatatype="130" unbalanced="0"/>
    <cacheHierarchy uniqueName="[STORE].[Price]" caption="Price" attribute="1" defaultMemberUniqueName="[STORE].[Price].[All]" allUniqueName="[STORE].[Price].[All]" dimensionUniqueName="[STORE]" displayFolder="" count="0" memberValueDatatype="5" unbalanced="0"/>
    <cacheHierarchy uniqueName="[STORE].[Production Cost]" caption="Production Cost" attribute="1" defaultMemberUniqueName="[STORE].[Production Cost].[All]" allUniqueName="[STORE].[Production Cost].[All]" dimensionUniqueName="[STORE]" displayFolder="" count="0" memberValueDatatype="5" unbalanced="0"/>
    <cacheHierarchy uniqueName="[Measures].[__XL_Count APOCOCO5]" caption="__XL_Count APOCOCO5" measure="1" displayFolder="" measureGroup="APOCOCO5" count="0" hidden="1"/>
    <cacheHierarchy uniqueName="[Measures].[__XL_Count STORE]" caption="__XL_Count STORE" measure="1" displayFolder="" measureGroup="STORE" count="0" hidden="1"/>
    <cacheHierarchy uniqueName="[Measures].[__XL_Count QUES3]" caption="__XL_Count QUES3" measure="1" displayFolder="" measureGroup="QUES3" count="0" hidden="1"/>
    <cacheHierarchy uniqueName="[Measures].[__XL_Count APOCOCO]" caption="__XL_Count APOCOCO" measure="1" displayFolder="" measureGroup="APOCOCO" count="0" hidden="1"/>
    <cacheHierarchy uniqueName="[Measures].[__No measures defined]" caption="__No measures defined" measure="1" displayFolder="" count="0" hidden="1"/>
    <cacheHierarchy uniqueName="[Measures].[Sum of Units Sold]" caption="Sum of Units Sold" measure="1" displayFolder="" measureGroup="QUES3"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APOCOCO" count="0" hidden="1">
      <extLst>
        <ext xmlns:x15="http://schemas.microsoft.com/office/spreadsheetml/2010/11/main" uri="{B97F6D7D-B522-45F9-BDA1-12C45D357490}">
          <x15:cacheHierarchy aggregatedColumn="13"/>
        </ext>
      </extLst>
    </cacheHierarchy>
  </cacheHierarchies>
  <kpis count="0"/>
  <dimensions count="5">
    <dimension name="APOCOCO" uniqueName="[APOCOCO]" caption="APOCOCO"/>
    <dimension name="APOCOCO5" uniqueName="[APOCOCO5]" caption="APOCOCO5"/>
    <dimension measure="1" name="Measures" uniqueName="[Measures]" caption="Measures"/>
    <dimension name="QUES3" uniqueName="[QUES3]" caption="QUES3"/>
    <dimension name="STORE" uniqueName="[STORE]" caption="STORE"/>
  </dimensions>
  <measureGroups count="4">
    <measureGroup name="APOCOCO" caption="APOCOCO"/>
    <measureGroup name="APOCOCO5" caption="APOCOCO5"/>
    <measureGroup name="QUES3" caption="QUES3"/>
    <measureGroup name="STORE" caption="STORE"/>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364.452393749998" createdVersion="7" refreshedVersion="7" minRefreshableVersion="3" recordCount="0" supportSubquery="1" supportAdvancedDrill="1" xr:uid="{2A1591E9-9C21-4F5F-8568-4DFD42546747}">
  <cacheSource type="external" connectionId="1"/>
  <cacheFields count="3">
    <cacheField name="[APOCOCO5].[Customer].[Customer]" caption="Customer" numFmtId="0" hierarchy="17" level="1">
      <sharedItems count="4">
        <s v="Alex The Analyst Apocolype Preppers"/>
        <s v="Apocolypse Preppers United"/>
        <s v="Prep4Anything Prepping Store"/>
        <s v="Uncle Joe's Prep Shop"/>
      </sharedItems>
    </cacheField>
    <cacheField name="[Measures].[Sum of Units Sold]" caption="Sum of Units Sold" numFmtId="0" hierarchy="37" level="32767"/>
    <cacheField name="[APOCOCO5].[product name].[product name]" caption="product name" numFmtId="0" hierarchy="19" level="1">
      <sharedItems containsSemiMixedTypes="0" containsNonDate="0" containsString="0"/>
    </cacheField>
  </cacheFields>
  <cacheHierarchies count="39">
    <cacheHierarchy uniqueName="[APOCOCO].[S/N]" caption="S/N" attribute="1" defaultMemberUniqueName="[APOCOCO].[S/N].[All]" allUniqueName="[APOCOCO].[S/N].[All]" dimensionUniqueName="[APOCOCO]" displayFolder="" count="0" memberValueDatatype="20" unbalanced="0"/>
    <cacheHierarchy uniqueName="[APOCOCO].[Customer]" caption="Customer" attribute="1" defaultMemberUniqueName="[APOCOCO].[Customer].[All]" allUniqueName="[APOCOCO].[Customer].[All]" dimensionUniqueName="[APOCOCO]" displayFolder="" count="0" memberValueDatatype="130" unbalanced="0"/>
    <cacheHierarchy uniqueName="[APOCOCO].[Product ID]" caption="Product ID" attribute="1" defaultMemberUniqueName="[APOCOCO].[Product ID].[All]" allUniqueName="[APOCOCO].[Product ID].[All]" dimensionUniqueName="[APOCOCO]" displayFolder="" count="0" memberValueDatatype="20" unbalanced="0"/>
    <cacheHierarchy uniqueName="[APOCOCO].[product name]" caption="product name" attribute="1" defaultMemberUniqueName="[APOCOCO].[product name].[All]" allUniqueName="[APOCOCO].[product name].[All]" dimensionUniqueName="[APOCOCO]" displayFolder="" count="0" memberValueDatatype="130" unbalanced="0"/>
    <cacheHierarchy uniqueName="[APOCOCO].[Order ID]" caption="Order ID" attribute="1" defaultMemberUniqueName="[APOCOCO].[Order ID].[All]" allUniqueName="[APOCOCO].[Order ID].[All]" dimensionUniqueName="[APOCOCO]" displayFolder="" count="0" memberValueDatatype="20" unbalanced="0"/>
    <cacheHierarchy uniqueName="[APOCOCO].[Units Sold]" caption="Units Sold" attribute="1" defaultMemberUniqueName="[APOCOCO].[Units Sold].[All]" allUniqueName="[APOCOCO].[Units Sold].[All]" dimensionUniqueName="[APOCOCO]" displayFolder="" count="0" memberValueDatatype="20" unbalanced="0"/>
    <cacheHierarchy uniqueName="[APOCOCO].[DATE]" caption="DATE" attribute="1" defaultMemberUniqueName="[APOCOCO].[DATE].[All]" allUniqueName="[APOCOCO].[DATE].[All]" dimensionUniqueName="[APOCOCO]" displayFolder="" count="0" memberValueDatatype="130" unbalanced="0"/>
    <cacheHierarchy uniqueName="[APOCOCO].[DAY]" caption="DAY" attribute="1" defaultMemberUniqueName="[APOCOCO].[DAY].[All]" allUniqueName="[APOCOCO].[DAY].[All]" dimensionUniqueName="[APOCOCO]" displayFolder="" count="0" memberValueDatatype="20" unbalanced="0"/>
    <cacheHierarchy uniqueName="[APOCOCO].[Date Purchased]" caption="Date Purchased" attribute="1" time="1" defaultMemberUniqueName="[APOCOCO].[Date Purchased].[All]" allUniqueName="[APOCOCO].[Date Purchased].[All]" dimensionUniqueName="[APOCOCO]" displayFolder="" count="0" memberValueDatatype="7" unbalanced="0"/>
    <cacheHierarchy uniqueName="[APOCOCO].[SELLING PRICE]" caption="SELLING PRICE" attribute="1" defaultMemberUniqueName="[APOCOCO].[SELLING PRICE].[All]" allUniqueName="[APOCOCO].[SELLING PRICE].[All]" dimensionUniqueName="[APOCOCO]" displayFolder="" count="0" memberValueDatatype="5" unbalanced="0"/>
    <cacheHierarchy uniqueName="[APOCOCO].[TOTAL SALES]" caption="TOTAL SALES" attribute="1" defaultMemberUniqueName="[APOCOCO].[TOTAL SALES].[All]" allUniqueName="[APOCOCO].[TOTAL SALES].[All]" dimensionUniqueName="[APOCOCO]" displayFolder="" count="0" memberValueDatatype="5" unbalanced="0"/>
    <cacheHierarchy uniqueName="[APOCOCO].[COST PRICE]" caption="COST PRICE" attribute="1" defaultMemberUniqueName="[APOCOCO].[COST PRICE].[All]" allUniqueName="[APOCOCO].[COST PRICE].[All]" dimensionUniqueName="[APOCOCO]" displayFolder="" count="0" memberValueDatatype="5" unbalanced="0"/>
    <cacheHierarchy uniqueName="[APOCOCO].[TOTAL COST PRICE]" caption="TOTAL COST PRICE" attribute="1" defaultMemberUniqueName="[APOCOCO].[TOTAL COST PRICE].[All]" allUniqueName="[APOCOCO].[TOTAL COST PRICE].[All]" dimensionUniqueName="[APOCOCO]" displayFolder="" count="0" memberValueDatatype="5" unbalanced="0"/>
    <cacheHierarchy uniqueName="[APOCOCO].[PROFIT]" caption="PROFIT" attribute="1" defaultMemberUniqueName="[APOCOCO].[PROFIT].[All]" allUniqueName="[APOCOCO].[PROFIT].[All]" dimensionUniqueName="[APOCOCO]" displayFolder="" count="0" memberValueDatatype="5" unbalanced="0"/>
    <cacheHierarchy uniqueName="[APOCOCO].[COST OF GOODS SOLD]" caption="COST OF GOODS SOLD" attribute="1" defaultMemberUniqueName="[APOCOCO].[COST OF GOODS SOLD].[All]" allUniqueName="[APOCOCO].[COST OF GOODS SOLD].[All]" dimensionUniqueName="[APOCOCO]" displayFolder="" count="0" memberValueDatatype="5" unbalanced="0"/>
    <cacheHierarchy uniqueName="[APOCOCO].[VAT]" caption="VAT" attribute="1" defaultMemberUniqueName="[APOCOCO].[VAT].[All]" allUniqueName="[APOCOCO].[VAT].[All]" dimensionUniqueName="[APOCOCO]" displayFolder="" count="0" memberValueDatatype="5" unbalanced="0"/>
    <cacheHierarchy uniqueName="[APOCOCO5].[S/N]" caption="S/N" attribute="1" defaultMemberUniqueName="[APOCOCO5].[S/N].[All]" allUniqueName="[APOCOCO5].[S/N].[All]" dimensionUniqueName="[APOCOCO5]" displayFolder="" count="0" memberValueDatatype="20" unbalanced="0"/>
    <cacheHierarchy uniqueName="[APOCOCO5].[Customer]" caption="Customer" attribute="1" defaultMemberUniqueName="[APOCOCO5].[Customer].[All]" allUniqueName="[APOCOCO5].[Customer].[All]" dimensionUniqueName="[APOCOCO5]" displayFolder="" count="2" memberValueDatatype="130" unbalanced="0">
      <fieldsUsage count="2">
        <fieldUsage x="-1"/>
        <fieldUsage x="0"/>
      </fieldsUsage>
    </cacheHierarchy>
    <cacheHierarchy uniqueName="[APOCOCO5].[Product ID]" caption="Product ID" attribute="1" defaultMemberUniqueName="[APOCOCO5].[Product ID].[All]" allUniqueName="[APOCOCO5].[Product ID].[All]" dimensionUniqueName="[APOCOCO5]" displayFolder="" count="0" memberValueDatatype="20" unbalanced="0"/>
    <cacheHierarchy uniqueName="[APOCOCO5].[product name]" caption="product name" attribute="1" defaultMemberUniqueName="[APOCOCO5].[product name].[All]" allUniqueName="[APOCOCO5].[product name].[All]" dimensionUniqueName="[APOCOCO5]" displayFolder="" count="2" memberValueDatatype="130" unbalanced="0">
      <fieldsUsage count="2">
        <fieldUsage x="-1"/>
        <fieldUsage x="2"/>
      </fieldsUsage>
    </cacheHierarchy>
    <cacheHierarchy uniqueName="[APOCOCO5].[Order ID]" caption="Order ID" attribute="1" defaultMemberUniqueName="[APOCOCO5].[Order ID].[All]" allUniqueName="[APOCOCO5].[Order ID].[All]" dimensionUniqueName="[APOCOCO5]" displayFolder="" count="0" memberValueDatatype="20" unbalanced="0"/>
    <cacheHierarchy uniqueName="[APOCOCO5].[Units Sold]" caption="Units Sold" attribute="1" defaultMemberUniqueName="[APOCOCO5].[Units Sold].[All]" allUniqueName="[APOCOCO5].[Units Sold].[All]" dimensionUniqueName="[APOCOCO5]" displayFolder="" count="0" memberValueDatatype="20" unbalanced="0"/>
    <cacheHierarchy uniqueName="[APOCOCO5].[DATE]" caption="DATE" attribute="1" defaultMemberUniqueName="[APOCOCO5].[DATE].[All]" allUniqueName="[APOCOCO5].[DATE].[All]" dimensionUniqueName="[APOCOCO5]" displayFolder="" count="0" memberValueDatatype="130" unbalanced="0"/>
    <cacheHierarchy uniqueName="[APOCOCO5].[DAY]" caption="DAY" attribute="1" defaultMemberUniqueName="[APOCOCO5].[DAY].[All]" allUniqueName="[APOCOCO5].[DAY].[All]" dimensionUniqueName="[APOCOCO5]" displayFolder="" count="0" memberValueDatatype="20" unbalanced="0"/>
    <cacheHierarchy uniqueName="[APOCOCO5].[Date Purchased]" caption="Date Purchased" attribute="1" time="1" defaultMemberUniqueName="[APOCOCO5].[Date Purchased].[All]" allUniqueName="[APOCOCO5].[Date Purchased].[All]" dimensionUniqueName="[APOCOCO5]" displayFolder="" count="0" memberValueDatatype="7" unbalanced="0"/>
    <cacheHierarchy uniqueName="[QUES3].[customer]" caption="customer" attribute="1" defaultMemberUniqueName="[QUES3].[customer].[All]" allUniqueName="[QUES3].[customer].[All]" dimensionUniqueName="[QUES3]" displayFolder="" count="0" memberValueDatatype="130" unbalanced="0"/>
    <cacheHierarchy uniqueName="[QUES3].[product name]" caption="product name" attribute="1" defaultMemberUniqueName="[QUES3].[product name].[All]" allUniqueName="[QUES3].[product name].[All]" dimensionUniqueName="[QUES3]" displayFolder="" count="0" memberValueDatatype="130" unbalanced="0"/>
    <cacheHierarchy uniqueName="[QUES3].[Units Sold]" caption="Units Sold" attribute="1" defaultMemberUniqueName="[QUES3].[Units Sold].[All]" allUniqueName="[QUES3].[Units Sold].[All]" dimensionUniqueName="[QUES3]" displayFolder="" count="0" memberValueDatatype="20" unbalanced="0"/>
    <cacheHierarchy uniqueName="[STORE].[Product ID]" caption="Product ID" attribute="1" defaultMemberUniqueName="[STORE].[Product ID].[All]" allUniqueName="[STORE].[Product ID].[All]" dimensionUniqueName="[STORE]" displayFolder="" count="0" memberValueDatatype="20" unbalanced="0"/>
    <cacheHierarchy uniqueName="[STORE].[Product Name]" caption="Product Name" attribute="1" defaultMemberUniqueName="[STORE].[Product Name].[All]" allUniqueName="[STORE].[Product Name].[All]" dimensionUniqueName="[STORE]" displayFolder="" count="0" memberValueDatatype="130" unbalanced="0"/>
    <cacheHierarchy uniqueName="[STORE].[Price]" caption="Price" attribute="1" defaultMemberUniqueName="[STORE].[Price].[All]" allUniqueName="[STORE].[Price].[All]" dimensionUniqueName="[STORE]" displayFolder="" count="0" memberValueDatatype="5" unbalanced="0"/>
    <cacheHierarchy uniqueName="[STORE].[Production Cost]" caption="Production Cost" attribute="1" defaultMemberUniqueName="[STORE].[Production Cost].[All]" allUniqueName="[STORE].[Production Cost].[All]" dimensionUniqueName="[STORE]" displayFolder="" count="0" memberValueDatatype="5" unbalanced="0"/>
    <cacheHierarchy uniqueName="[Measures].[__XL_Count APOCOCO5]" caption="__XL_Count APOCOCO5" measure="1" displayFolder="" measureGroup="APOCOCO5" count="0" hidden="1"/>
    <cacheHierarchy uniqueName="[Measures].[__XL_Count STORE]" caption="__XL_Count STORE" measure="1" displayFolder="" measureGroup="STORE" count="0" hidden="1"/>
    <cacheHierarchy uniqueName="[Measures].[__XL_Count QUES3]" caption="__XL_Count QUES3" measure="1" displayFolder="" measureGroup="QUES3" count="0" hidden="1"/>
    <cacheHierarchy uniqueName="[Measures].[__XL_Count APOCOCO]" caption="__XL_Count APOCOCO" measure="1" displayFolder="" measureGroup="APOCOCO" count="0" hidden="1"/>
    <cacheHierarchy uniqueName="[Measures].[__No measures defined]" caption="__No measures defined" measure="1" displayFolder="" count="0" hidden="1"/>
    <cacheHierarchy uniqueName="[Measures].[Sum of Units Sold]" caption="Sum of Units Sold" measure="1" displayFolder="" measureGroup="QUES3"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APOCOCO" count="0" hidden="1">
      <extLst>
        <ext xmlns:x15="http://schemas.microsoft.com/office/spreadsheetml/2010/11/main" uri="{B97F6D7D-B522-45F9-BDA1-12C45D357490}">
          <x15:cacheHierarchy aggregatedColumn="13"/>
        </ext>
      </extLst>
    </cacheHierarchy>
  </cacheHierarchies>
  <kpis count="0"/>
  <dimensions count="5">
    <dimension name="APOCOCO" uniqueName="[APOCOCO]" caption="APOCOCO"/>
    <dimension name="APOCOCO5" uniqueName="[APOCOCO5]" caption="APOCOCO5"/>
    <dimension measure="1" name="Measures" uniqueName="[Measures]" caption="Measures"/>
    <dimension name="QUES3" uniqueName="[QUES3]" caption="QUES3"/>
    <dimension name="STORE" uniqueName="[STORE]" caption="STORE"/>
  </dimensions>
  <measureGroups count="4">
    <measureGroup name="APOCOCO" caption="APOCOCO"/>
    <measureGroup name="APOCOCO5" caption="APOCOCO5"/>
    <measureGroup name="QUES3" caption="QUES3"/>
    <measureGroup name="STORE" caption="STORE"/>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364.452394328706" createdVersion="7" refreshedVersion="7" minRefreshableVersion="3" recordCount="0" supportSubquery="1" supportAdvancedDrill="1" xr:uid="{71CDA2EA-8DE7-49AC-97EA-B0F9F0F15B20}">
  <cacheSource type="external" connectionId="1"/>
  <cacheFields count="2">
    <cacheField name="[APOCOCO5].[product name].[product name]" caption="product name" numFmtId="0" hierarchy="19" level="1">
      <sharedItems count="1">
        <s v="Backpack"/>
      </sharedItems>
    </cacheField>
    <cacheField name="[Measures].[Sum of PROFIT]" caption="Sum of PROFIT" numFmtId="0" hierarchy="38" level="32767"/>
  </cacheFields>
  <cacheHierarchies count="39">
    <cacheHierarchy uniqueName="[APOCOCO].[S/N]" caption="S/N" attribute="1" defaultMemberUniqueName="[APOCOCO].[S/N].[All]" allUniqueName="[APOCOCO].[S/N].[All]" dimensionUniqueName="[APOCOCO]" displayFolder="" count="2" memberValueDatatype="20" unbalanced="0"/>
    <cacheHierarchy uniqueName="[APOCOCO].[Customer]" caption="Customer" attribute="1" defaultMemberUniqueName="[APOCOCO].[Customer].[All]" allUniqueName="[APOCOCO].[Customer].[All]" dimensionUniqueName="[APOCOCO]" displayFolder="" count="2" memberValueDatatype="130" unbalanced="0"/>
    <cacheHierarchy uniqueName="[APOCOCO].[Product ID]" caption="Product ID" attribute="1" defaultMemberUniqueName="[APOCOCO].[Product ID].[All]" allUniqueName="[APOCOCO].[Product ID].[All]" dimensionUniqueName="[APOCOCO]" displayFolder="" count="2" memberValueDatatype="20" unbalanced="0"/>
    <cacheHierarchy uniqueName="[APOCOCO].[product name]" caption="product name" attribute="1" defaultMemberUniqueName="[APOCOCO].[product name].[All]" allUniqueName="[APOCOCO].[product name].[All]" dimensionUniqueName="[APOCOCO]" displayFolder="" count="2" memberValueDatatype="130" unbalanced="0"/>
    <cacheHierarchy uniqueName="[APOCOCO].[Order ID]" caption="Order ID" attribute="1" defaultMemberUniqueName="[APOCOCO].[Order ID].[All]" allUniqueName="[APOCOCO].[Order ID].[All]" dimensionUniqueName="[APOCOCO]" displayFolder="" count="2" memberValueDatatype="20" unbalanced="0"/>
    <cacheHierarchy uniqueName="[APOCOCO].[Units Sold]" caption="Units Sold" attribute="1" defaultMemberUniqueName="[APOCOCO].[Units Sold].[All]" allUniqueName="[APOCOCO].[Units Sold].[All]" dimensionUniqueName="[APOCOCO]" displayFolder="" count="2" memberValueDatatype="20" unbalanced="0"/>
    <cacheHierarchy uniqueName="[APOCOCO].[DATE]" caption="DATE" attribute="1" defaultMemberUniqueName="[APOCOCO].[DATE].[All]" allUniqueName="[APOCOCO].[DATE].[All]" dimensionUniqueName="[APOCOCO]" displayFolder="" count="2" memberValueDatatype="130" unbalanced="0"/>
    <cacheHierarchy uniqueName="[APOCOCO].[DAY]" caption="DAY" attribute="1" defaultMemberUniqueName="[APOCOCO].[DAY].[All]" allUniqueName="[APOCOCO].[DAY].[All]" dimensionUniqueName="[APOCOCO]" displayFolder="" count="2" memberValueDatatype="20" unbalanced="0"/>
    <cacheHierarchy uniqueName="[APOCOCO].[Date Purchased]" caption="Date Purchased" attribute="1" time="1" defaultMemberUniqueName="[APOCOCO].[Date Purchased].[All]" allUniqueName="[APOCOCO].[Date Purchased].[All]" dimensionUniqueName="[APOCOCO]" displayFolder="" count="2" memberValueDatatype="7" unbalanced="0"/>
    <cacheHierarchy uniqueName="[APOCOCO].[SELLING PRICE]" caption="SELLING PRICE" attribute="1" defaultMemberUniqueName="[APOCOCO].[SELLING PRICE].[All]" allUniqueName="[APOCOCO].[SELLING PRICE].[All]" dimensionUniqueName="[APOCOCO]" displayFolder="" count="2" memberValueDatatype="5" unbalanced="0"/>
    <cacheHierarchy uniqueName="[APOCOCO].[TOTAL SALES]" caption="TOTAL SALES" attribute="1" defaultMemberUniqueName="[APOCOCO].[TOTAL SALES].[All]" allUniqueName="[APOCOCO].[TOTAL SALES].[All]" dimensionUniqueName="[APOCOCO]" displayFolder="" count="2" memberValueDatatype="5" unbalanced="0"/>
    <cacheHierarchy uniqueName="[APOCOCO].[COST PRICE]" caption="COST PRICE" attribute="1" defaultMemberUniqueName="[APOCOCO].[COST PRICE].[All]" allUniqueName="[APOCOCO].[COST PRICE].[All]" dimensionUniqueName="[APOCOCO]" displayFolder="" count="2" memberValueDatatype="5" unbalanced="0"/>
    <cacheHierarchy uniqueName="[APOCOCO].[TOTAL COST PRICE]" caption="TOTAL COST PRICE" attribute="1" defaultMemberUniqueName="[APOCOCO].[TOTAL COST PRICE].[All]" allUniqueName="[APOCOCO].[TOTAL COST PRICE].[All]" dimensionUniqueName="[APOCOCO]" displayFolder="" count="2" memberValueDatatype="5" unbalanced="0"/>
    <cacheHierarchy uniqueName="[APOCOCO].[PROFIT]" caption="PROFIT" attribute="1" defaultMemberUniqueName="[APOCOCO].[PROFIT].[All]" allUniqueName="[APOCOCO].[PROFIT].[All]" dimensionUniqueName="[APOCOCO]" displayFolder="" count="2" memberValueDatatype="5" unbalanced="0"/>
    <cacheHierarchy uniqueName="[APOCOCO].[COST OF GOODS SOLD]" caption="COST OF GOODS SOLD" attribute="1" defaultMemberUniqueName="[APOCOCO].[COST OF GOODS SOLD].[All]" allUniqueName="[APOCOCO].[COST OF GOODS SOLD].[All]" dimensionUniqueName="[APOCOCO]" displayFolder="" count="2" memberValueDatatype="5" unbalanced="0"/>
    <cacheHierarchy uniqueName="[APOCOCO].[VAT]" caption="VAT" attribute="1" defaultMemberUniqueName="[APOCOCO].[VAT].[All]" allUniqueName="[APOCOCO].[VAT].[All]" dimensionUniqueName="[APOCOCO]" displayFolder="" count="2" memberValueDatatype="5" unbalanced="0"/>
    <cacheHierarchy uniqueName="[APOCOCO5].[S/N]" caption="S/N" attribute="1" defaultMemberUniqueName="[APOCOCO5].[S/N].[All]" allUniqueName="[APOCOCO5].[S/N].[All]" dimensionUniqueName="[APOCOCO5]" displayFolder="" count="2" memberValueDatatype="20" unbalanced="0"/>
    <cacheHierarchy uniqueName="[APOCOCO5].[Customer]" caption="Customer" attribute="1" defaultMemberUniqueName="[APOCOCO5].[Customer].[All]" allUniqueName="[APOCOCO5].[Customer].[All]" dimensionUniqueName="[APOCOCO5]" displayFolder="" count="2" memberValueDatatype="130" unbalanced="0"/>
    <cacheHierarchy uniqueName="[APOCOCO5].[Product ID]" caption="Product ID" attribute="1" defaultMemberUniqueName="[APOCOCO5].[Product ID].[All]" allUniqueName="[APOCOCO5].[Product ID].[All]" dimensionUniqueName="[APOCOCO5]" displayFolder="" count="2" memberValueDatatype="20" unbalanced="0"/>
    <cacheHierarchy uniqueName="[APOCOCO5].[product name]" caption="product name" attribute="1" defaultMemberUniqueName="[APOCOCO5].[product name].[All]" allUniqueName="[APOCOCO5].[product name].[All]" dimensionUniqueName="[APOCOCO5]" displayFolder="" count="2" memberValueDatatype="130" unbalanced="0">
      <fieldsUsage count="2">
        <fieldUsage x="-1"/>
        <fieldUsage x="0"/>
      </fieldsUsage>
    </cacheHierarchy>
    <cacheHierarchy uniqueName="[APOCOCO5].[Order ID]" caption="Order ID" attribute="1" defaultMemberUniqueName="[APOCOCO5].[Order ID].[All]" allUniqueName="[APOCOCO5].[Order ID].[All]" dimensionUniqueName="[APOCOCO5]" displayFolder="" count="2" memberValueDatatype="20" unbalanced="0"/>
    <cacheHierarchy uniqueName="[APOCOCO5].[Units Sold]" caption="Units Sold" attribute="1" defaultMemberUniqueName="[APOCOCO5].[Units Sold].[All]" allUniqueName="[APOCOCO5].[Units Sold].[All]" dimensionUniqueName="[APOCOCO5]" displayFolder="" count="2" memberValueDatatype="20" unbalanced="0"/>
    <cacheHierarchy uniqueName="[APOCOCO5].[DATE]" caption="DATE" attribute="1" defaultMemberUniqueName="[APOCOCO5].[DATE].[All]" allUniqueName="[APOCOCO5].[DATE].[All]" dimensionUniqueName="[APOCOCO5]" displayFolder="" count="2" memberValueDatatype="130" unbalanced="0"/>
    <cacheHierarchy uniqueName="[APOCOCO5].[DAY]" caption="DAY" attribute="1" defaultMemberUniqueName="[APOCOCO5].[DAY].[All]" allUniqueName="[APOCOCO5].[DAY].[All]" dimensionUniqueName="[APOCOCO5]" displayFolder="" count="2" memberValueDatatype="20" unbalanced="0"/>
    <cacheHierarchy uniqueName="[APOCOCO5].[Date Purchased]" caption="Date Purchased" attribute="1" time="1" defaultMemberUniqueName="[APOCOCO5].[Date Purchased].[All]" allUniqueName="[APOCOCO5].[Date Purchased].[All]" dimensionUniqueName="[APOCOCO5]" displayFolder="" count="2" memberValueDatatype="7" unbalanced="0"/>
    <cacheHierarchy uniqueName="[QUES3].[customer]" caption="customer" attribute="1" defaultMemberUniqueName="[QUES3].[customer].[All]" allUniqueName="[QUES3].[customer].[All]" dimensionUniqueName="[QUES3]" displayFolder="" count="2" memberValueDatatype="130" unbalanced="0"/>
    <cacheHierarchy uniqueName="[QUES3].[product name]" caption="product name" attribute="1" defaultMemberUniqueName="[QUES3].[product name].[All]" allUniqueName="[QUES3].[product name].[All]" dimensionUniqueName="[QUES3]" displayFolder="" count="2" memberValueDatatype="130" unbalanced="0"/>
    <cacheHierarchy uniqueName="[QUES3].[Units Sold]" caption="Units Sold" attribute="1" defaultMemberUniqueName="[QUES3].[Units Sold].[All]" allUniqueName="[QUES3].[Units Sold].[All]" dimensionUniqueName="[QUES3]" displayFolder="" count="2" memberValueDatatype="20" unbalanced="0"/>
    <cacheHierarchy uniqueName="[STORE].[Product ID]" caption="Product ID" attribute="1" defaultMemberUniqueName="[STORE].[Product ID].[All]" allUniqueName="[STORE].[Product ID].[All]" dimensionUniqueName="[STORE]" displayFolder="" count="2" memberValueDatatype="20" unbalanced="0"/>
    <cacheHierarchy uniqueName="[STORE].[Product Name]" caption="Product Name" attribute="1" defaultMemberUniqueName="[STORE].[Product Name].[All]" allUniqueName="[STORE].[Product Name].[All]" dimensionUniqueName="[STORE]" displayFolder="" count="2" memberValueDatatype="130" unbalanced="0"/>
    <cacheHierarchy uniqueName="[STORE].[Price]" caption="Price" attribute="1" defaultMemberUniqueName="[STORE].[Price].[All]" allUniqueName="[STORE].[Price].[All]" dimensionUniqueName="[STORE]" displayFolder="" count="2" memberValueDatatype="5" unbalanced="0"/>
    <cacheHierarchy uniqueName="[STORE].[Production Cost]" caption="Production Cost" attribute="1" defaultMemberUniqueName="[STORE].[Production Cost].[All]" allUniqueName="[STORE].[Production Cost].[All]" dimensionUniqueName="[STORE]" displayFolder="" count="2" memberValueDatatype="5" unbalanced="0"/>
    <cacheHierarchy uniqueName="[Measures].[__XL_Count APOCOCO5]" caption="__XL_Count APOCOCO5" measure="1" displayFolder="" measureGroup="APOCOCO5" count="0" hidden="1"/>
    <cacheHierarchy uniqueName="[Measures].[__XL_Count STORE]" caption="__XL_Count STORE" measure="1" displayFolder="" measureGroup="STORE" count="0" hidden="1"/>
    <cacheHierarchy uniqueName="[Measures].[__XL_Count QUES3]" caption="__XL_Count QUES3" measure="1" displayFolder="" measureGroup="QUES3" count="0" hidden="1"/>
    <cacheHierarchy uniqueName="[Measures].[__XL_Count APOCOCO]" caption="__XL_Count APOCOCO" measure="1" displayFolder="" measureGroup="APOCOCO" count="0" hidden="1"/>
    <cacheHierarchy uniqueName="[Measures].[__No measures defined]" caption="__No measures defined" measure="1" displayFolder="" count="0" hidden="1"/>
    <cacheHierarchy uniqueName="[Measures].[Sum of Units Sold]" caption="Sum of Units Sold" measure="1" displayFolder="" measureGroup="QUES3"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APOCOC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5">
    <dimension name="APOCOCO" uniqueName="[APOCOCO]" caption="APOCOCO"/>
    <dimension name="APOCOCO5" uniqueName="[APOCOCO5]" caption="APOCOCO5"/>
    <dimension measure="1" name="Measures" uniqueName="[Measures]" caption="Measures"/>
    <dimension name="QUES3" uniqueName="[QUES3]" caption="QUES3"/>
    <dimension name="STORE" uniqueName="[STORE]" caption="STORE"/>
  </dimensions>
  <measureGroups count="4">
    <measureGroup name="APOCOCO" caption="APOCOCO"/>
    <measureGroup name="APOCOCO5" caption="APOCOCO5"/>
    <measureGroup name="QUES3" caption="QUES3"/>
    <measureGroup name="STORE" caption="STORE"/>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364.442008449078" createdVersion="3" refreshedVersion="7" minRefreshableVersion="3" recordCount="0" supportSubquery="1" supportAdvancedDrill="1" xr:uid="{36295568-76CD-4207-BF4A-025C1E7B4722}">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APOCOCO].[S/N]" caption="S/N" attribute="1" defaultMemberUniqueName="[APOCOCO].[S/N].[All]" allUniqueName="[APOCOCO].[S/N].[All]" dimensionUniqueName="[APOCOCO]" displayFolder="" count="0" memberValueDatatype="20" unbalanced="0"/>
    <cacheHierarchy uniqueName="[APOCOCO].[Customer]" caption="Customer" attribute="1" defaultMemberUniqueName="[APOCOCO].[Customer].[All]" allUniqueName="[APOCOCO].[Customer].[All]" dimensionUniqueName="[APOCOCO]" displayFolder="" count="0" memberValueDatatype="130" unbalanced="0"/>
    <cacheHierarchy uniqueName="[APOCOCO].[Product ID]" caption="Product ID" attribute="1" defaultMemberUniqueName="[APOCOCO].[Product ID].[All]" allUniqueName="[APOCOCO].[Product ID].[All]" dimensionUniqueName="[APOCOCO]" displayFolder="" count="0" memberValueDatatype="20" unbalanced="0"/>
    <cacheHierarchy uniqueName="[APOCOCO].[product name]" caption="product name" attribute="1" defaultMemberUniqueName="[APOCOCO].[product name].[All]" allUniqueName="[APOCOCO].[product name].[All]" dimensionUniqueName="[APOCOCO]" displayFolder="" count="0" memberValueDatatype="130" unbalanced="0"/>
    <cacheHierarchy uniqueName="[APOCOCO].[Order ID]" caption="Order ID" attribute="1" defaultMemberUniqueName="[APOCOCO].[Order ID].[All]" allUniqueName="[APOCOCO].[Order ID].[All]" dimensionUniqueName="[APOCOCO]" displayFolder="" count="0" memberValueDatatype="20" unbalanced="0"/>
    <cacheHierarchy uniqueName="[APOCOCO].[Units Sold]" caption="Units Sold" attribute="1" defaultMemberUniqueName="[APOCOCO].[Units Sold].[All]" allUniqueName="[APOCOCO].[Units Sold].[All]" dimensionUniqueName="[APOCOCO]" displayFolder="" count="0" memberValueDatatype="20" unbalanced="0"/>
    <cacheHierarchy uniqueName="[APOCOCO].[DATE]" caption="DATE" attribute="1" defaultMemberUniqueName="[APOCOCO].[DATE].[All]" allUniqueName="[APOCOCO].[DATE].[All]" dimensionUniqueName="[APOCOCO]" displayFolder="" count="0" memberValueDatatype="130" unbalanced="0"/>
    <cacheHierarchy uniqueName="[APOCOCO].[DAY]" caption="DAY" attribute="1" defaultMemberUniqueName="[APOCOCO].[DAY].[All]" allUniqueName="[APOCOCO].[DAY].[All]" dimensionUniqueName="[APOCOCO]" displayFolder="" count="0" memberValueDatatype="20" unbalanced="0"/>
    <cacheHierarchy uniqueName="[APOCOCO].[Date Purchased]" caption="Date Purchased" attribute="1" time="1" defaultMemberUniqueName="[APOCOCO].[Date Purchased].[All]" allUniqueName="[APOCOCO].[Date Purchased].[All]" dimensionUniqueName="[APOCOCO]" displayFolder="" count="0" memberValueDatatype="7" unbalanced="0"/>
    <cacheHierarchy uniqueName="[APOCOCO].[SELLING PRICE]" caption="SELLING PRICE" attribute="1" defaultMemberUniqueName="[APOCOCO].[SELLING PRICE].[All]" allUniqueName="[APOCOCO].[SELLING PRICE].[All]" dimensionUniqueName="[APOCOCO]" displayFolder="" count="0" memberValueDatatype="5" unbalanced="0"/>
    <cacheHierarchy uniqueName="[APOCOCO].[TOTAL SALES]" caption="TOTAL SALES" attribute="1" defaultMemberUniqueName="[APOCOCO].[TOTAL SALES].[All]" allUniqueName="[APOCOCO].[TOTAL SALES].[All]" dimensionUniqueName="[APOCOCO]" displayFolder="" count="0" memberValueDatatype="5" unbalanced="0"/>
    <cacheHierarchy uniqueName="[APOCOCO].[COST PRICE]" caption="COST PRICE" attribute="1" defaultMemberUniqueName="[APOCOCO].[COST PRICE].[All]" allUniqueName="[APOCOCO].[COST PRICE].[All]" dimensionUniqueName="[APOCOCO]" displayFolder="" count="0" memberValueDatatype="5" unbalanced="0"/>
    <cacheHierarchy uniqueName="[APOCOCO].[TOTAL COST PRICE]" caption="TOTAL COST PRICE" attribute="1" defaultMemberUniqueName="[APOCOCO].[TOTAL COST PRICE].[All]" allUniqueName="[APOCOCO].[TOTAL COST PRICE].[All]" dimensionUniqueName="[APOCOCO]" displayFolder="" count="0" memberValueDatatype="5" unbalanced="0"/>
    <cacheHierarchy uniqueName="[APOCOCO].[PROFIT]" caption="PROFIT" attribute="1" defaultMemberUniqueName="[APOCOCO].[PROFIT].[All]" allUniqueName="[APOCOCO].[PROFIT].[All]" dimensionUniqueName="[APOCOCO]" displayFolder="" count="0" memberValueDatatype="5" unbalanced="0"/>
    <cacheHierarchy uniqueName="[APOCOCO].[COST OF GOODS SOLD]" caption="COST OF GOODS SOLD" attribute="1" defaultMemberUniqueName="[APOCOCO].[COST OF GOODS SOLD].[All]" allUniqueName="[APOCOCO].[COST OF GOODS SOLD].[All]" dimensionUniqueName="[APOCOCO]" displayFolder="" count="0" memberValueDatatype="5" unbalanced="0"/>
    <cacheHierarchy uniqueName="[APOCOCO].[VAT]" caption="VAT" attribute="1" defaultMemberUniqueName="[APOCOCO].[VAT].[All]" allUniqueName="[APOCOCO].[VAT].[All]" dimensionUniqueName="[APOCOCO]" displayFolder="" count="0" memberValueDatatype="5" unbalanced="0"/>
    <cacheHierarchy uniqueName="[APOCOCO5].[S/N]" caption="S/N" attribute="1" defaultMemberUniqueName="[APOCOCO5].[S/N].[All]" allUniqueName="[APOCOCO5].[S/N].[All]" dimensionUniqueName="[APOCOCO5]" displayFolder="" count="0" memberValueDatatype="20" unbalanced="0"/>
    <cacheHierarchy uniqueName="[APOCOCO5].[Customer]" caption="Customer" attribute="1" defaultMemberUniqueName="[APOCOCO5].[Customer].[All]" allUniqueName="[APOCOCO5].[Customer].[All]" dimensionUniqueName="[APOCOCO5]" displayFolder="" count="0" memberValueDatatype="130" unbalanced="0"/>
    <cacheHierarchy uniqueName="[APOCOCO5].[Product ID]" caption="Product ID" attribute="1" defaultMemberUniqueName="[APOCOCO5].[Product ID].[All]" allUniqueName="[APOCOCO5].[Product ID].[All]" dimensionUniqueName="[APOCOCO5]" displayFolder="" count="0" memberValueDatatype="20" unbalanced="0"/>
    <cacheHierarchy uniqueName="[APOCOCO5].[product name]" caption="product name" attribute="1" defaultMemberUniqueName="[APOCOCO5].[product name].[All]" allUniqueName="[APOCOCO5].[product name].[All]" dimensionUniqueName="[APOCOCO5]" displayFolder="" count="2" memberValueDatatype="130" unbalanced="0"/>
    <cacheHierarchy uniqueName="[APOCOCO5].[Order ID]" caption="Order ID" attribute="1" defaultMemberUniqueName="[APOCOCO5].[Order ID].[All]" allUniqueName="[APOCOCO5].[Order ID].[All]" dimensionUniqueName="[APOCOCO5]" displayFolder="" count="0" memberValueDatatype="20" unbalanced="0"/>
    <cacheHierarchy uniqueName="[APOCOCO5].[Units Sold]" caption="Units Sold" attribute="1" defaultMemberUniqueName="[APOCOCO5].[Units Sold].[All]" allUniqueName="[APOCOCO5].[Units Sold].[All]" dimensionUniqueName="[APOCOCO5]" displayFolder="" count="0" memberValueDatatype="20" unbalanced="0"/>
    <cacheHierarchy uniqueName="[APOCOCO5].[DATE]" caption="DATE" attribute="1" defaultMemberUniqueName="[APOCOCO5].[DATE].[All]" allUniqueName="[APOCOCO5].[DATE].[All]" dimensionUniqueName="[APOCOCO5]" displayFolder="" count="0" memberValueDatatype="130" unbalanced="0"/>
    <cacheHierarchy uniqueName="[APOCOCO5].[DAY]" caption="DAY" attribute="1" defaultMemberUniqueName="[APOCOCO5].[DAY].[All]" allUniqueName="[APOCOCO5].[DAY].[All]" dimensionUniqueName="[APOCOCO5]" displayFolder="" count="0" memberValueDatatype="20" unbalanced="0"/>
    <cacheHierarchy uniqueName="[APOCOCO5].[Date Purchased]" caption="Date Purchased" attribute="1" time="1" defaultMemberUniqueName="[APOCOCO5].[Date Purchased].[All]" allUniqueName="[APOCOCO5].[Date Purchased].[All]" dimensionUniqueName="[APOCOCO5]" displayFolder="" count="0" memberValueDatatype="7" unbalanced="0"/>
    <cacheHierarchy uniqueName="[QUES3].[customer]" caption="customer" attribute="1" defaultMemberUniqueName="[QUES3].[customer].[All]" allUniqueName="[QUES3].[customer].[All]" dimensionUniqueName="[QUES3]" displayFolder="" count="0" memberValueDatatype="130" unbalanced="0"/>
    <cacheHierarchy uniqueName="[QUES3].[product name]" caption="product name" attribute="1" defaultMemberUniqueName="[QUES3].[product name].[All]" allUniqueName="[QUES3].[product name].[All]" dimensionUniqueName="[QUES3]" displayFolder="" count="0" memberValueDatatype="130" unbalanced="0"/>
    <cacheHierarchy uniqueName="[QUES3].[Units Sold]" caption="Units Sold" attribute="1" defaultMemberUniqueName="[QUES3].[Units Sold].[All]" allUniqueName="[QUES3].[Units Sold].[All]" dimensionUniqueName="[QUES3]" displayFolder="" count="0" memberValueDatatype="20" unbalanced="0"/>
    <cacheHierarchy uniqueName="[STORE].[Product ID]" caption="Product ID" attribute="1" defaultMemberUniqueName="[STORE].[Product ID].[All]" allUniqueName="[STORE].[Product ID].[All]" dimensionUniqueName="[STORE]" displayFolder="" count="0" memberValueDatatype="20" unbalanced="0"/>
    <cacheHierarchy uniqueName="[STORE].[Product Name]" caption="Product Name" attribute="1" defaultMemberUniqueName="[STORE].[Product Name].[All]" allUniqueName="[STORE].[Product Name].[All]" dimensionUniqueName="[STORE]" displayFolder="" count="0" memberValueDatatype="130" unbalanced="0"/>
    <cacheHierarchy uniqueName="[STORE].[Price]" caption="Price" attribute="1" defaultMemberUniqueName="[STORE].[Price].[All]" allUniqueName="[STORE].[Price].[All]" dimensionUniqueName="[STORE]" displayFolder="" count="0" memberValueDatatype="5" unbalanced="0"/>
    <cacheHierarchy uniqueName="[STORE].[Production Cost]" caption="Production Cost" attribute="1" defaultMemberUniqueName="[STORE].[Production Cost].[All]" allUniqueName="[STORE].[Production Cost].[All]" dimensionUniqueName="[STORE]" displayFolder="" count="0" memberValueDatatype="5" unbalanced="0"/>
    <cacheHierarchy uniqueName="[Measures].[__XL_Count APOCOCO5]" caption="__XL_Count APOCOCO5" measure="1" displayFolder="" measureGroup="APOCOCO5" count="0" hidden="1"/>
    <cacheHierarchy uniqueName="[Measures].[__XL_Count STORE]" caption="__XL_Count STORE" measure="1" displayFolder="" measureGroup="STORE" count="0" hidden="1"/>
    <cacheHierarchy uniqueName="[Measures].[__XL_Count QUES3]" caption="__XL_Count QUES3" measure="1" displayFolder="" measureGroup="QUES3" count="0" hidden="1"/>
    <cacheHierarchy uniqueName="[Measures].[__XL_Count APOCOCO]" caption="__XL_Count APOCOCO" measure="1" displayFolder="" measureGroup="APOCOCO" count="0" hidden="1"/>
    <cacheHierarchy uniqueName="[Measures].[__No measures defined]" caption="__No measures defined" measure="1" displayFolder="" count="0" hidden="1"/>
    <cacheHierarchy uniqueName="[Measures].[Sum of Units Sold]" caption="Sum of Units Sold" measure="1" displayFolder="" measureGroup="QUES3"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APOCOC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8731848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364.442009259263" createdVersion="3" refreshedVersion="7" minRefreshableVersion="3" recordCount="0" supportSubquery="1" supportAdvancedDrill="1" xr:uid="{957F92D5-5B25-4A98-98E6-AF3C8835EFBE}">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APOCOCO].[S/N]" caption="S/N" attribute="1" defaultMemberUniqueName="[APOCOCO].[S/N].[All]" allUniqueName="[APOCOCO].[S/N].[All]" dimensionUniqueName="[APOCOCO]" displayFolder="" count="0" memberValueDatatype="20" unbalanced="0"/>
    <cacheHierarchy uniqueName="[APOCOCO].[Customer]" caption="Customer" attribute="1" defaultMemberUniqueName="[APOCOCO].[Customer].[All]" allUniqueName="[APOCOCO].[Customer].[All]" dimensionUniqueName="[APOCOCO]" displayFolder="" count="0" memberValueDatatype="130" unbalanced="0"/>
    <cacheHierarchy uniqueName="[APOCOCO].[Product ID]" caption="Product ID" attribute="1" defaultMemberUniqueName="[APOCOCO].[Product ID].[All]" allUniqueName="[APOCOCO].[Product ID].[All]" dimensionUniqueName="[APOCOCO]" displayFolder="" count="0" memberValueDatatype="20" unbalanced="0"/>
    <cacheHierarchy uniqueName="[APOCOCO].[product name]" caption="product name" attribute="1" defaultMemberUniqueName="[APOCOCO].[product name].[All]" allUniqueName="[APOCOCO].[product name].[All]" dimensionUniqueName="[APOCOCO]" displayFolder="" count="0" memberValueDatatype="130" unbalanced="0"/>
    <cacheHierarchy uniqueName="[APOCOCO].[Order ID]" caption="Order ID" attribute="1" defaultMemberUniqueName="[APOCOCO].[Order ID].[All]" allUniqueName="[APOCOCO].[Order ID].[All]" dimensionUniqueName="[APOCOCO]" displayFolder="" count="0" memberValueDatatype="20" unbalanced="0"/>
    <cacheHierarchy uniqueName="[APOCOCO].[Units Sold]" caption="Units Sold" attribute="1" defaultMemberUniqueName="[APOCOCO].[Units Sold].[All]" allUniqueName="[APOCOCO].[Units Sold].[All]" dimensionUniqueName="[APOCOCO]" displayFolder="" count="0" memberValueDatatype="20" unbalanced="0"/>
    <cacheHierarchy uniqueName="[APOCOCO].[DATE]" caption="DATE" attribute="1" defaultMemberUniqueName="[APOCOCO].[DATE].[All]" allUniqueName="[APOCOCO].[DATE].[All]" dimensionUniqueName="[APOCOCO]" displayFolder="" count="0" memberValueDatatype="130" unbalanced="0"/>
    <cacheHierarchy uniqueName="[APOCOCO].[DAY]" caption="DAY" attribute="1" defaultMemberUniqueName="[APOCOCO].[DAY].[All]" allUniqueName="[APOCOCO].[DAY].[All]" dimensionUniqueName="[APOCOCO]" displayFolder="" count="0" memberValueDatatype="20" unbalanced="0"/>
    <cacheHierarchy uniqueName="[APOCOCO].[Date Purchased]" caption="Date Purchased" attribute="1" time="1" defaultMemberUniqueName="[APOCOCO].[Date Purchased].[All]" allUniqueName="[APOCOCO].[Date Purchased].[All]" dimensionUniqueName="[APOCOCO]" displayFolder="" count="0" memberValueDatatype="7" unbalanced="0"/>
    <cacheHierarchy uniqueName="[APOCOCO].[SELLING PRICE]" caption="SELLING PRICE" attribute="1" defaultMemberUniqueName="[APOCOCO].[SELLING PRICE].[All]" allUniqueName="[APOCOCO].[SELLING PRICE].[All]" dimensionUniqueName="[APOCOCO]" displayFolder="" count="0" memberValueDatatype="5" unbalanced="0"/>
    <cacheHierarchy uniqueName="[APOCOCO].[TOTAL SALES]" caption="TOTAL SALES" attribute="1" defaultMemberUniqueName="[APOCOCO].[TOTAL SALES].[All]" allUniqueName="[APOCOCO].[TOTAL SALES].[All]" dimensionUniqueName="[APOCOCO]" displayFolder="" count="0" memberValueDatatype="5" unbalanced="0"/>
    <cacheHierarchy uniqueName="[APOCOCO].[COST PRICE]" caption="COST PRICE" attribute="1" defaultMemberUniqueName="[APOCOCO].[COST PRICE].[All]" allUniqueName="[APOCOCO].[COST PRICE].[All]" dimensionUniqueName="[APOCOCO]" displayFolder="" count="0" memberValueDatatype="5" unbalanced="0"/>
    <cacheHierarchy uniqueName="[APOCOCO].[TOTAL COST PRICE]" caption="TOTAL COST PRICE" attribute="1" defaultMemberUniqueName="[APOCOCO].[TOTAL COST PRICE].[All]" allUniqueName="[APOCOCO].[TOTAL COST PRICE].[All]" dimensionUniqueName="[APOCOCO]" displayFolder="" count="0" memberValueDatatype="5" unbalanced="0"/>
    <cacheHierarchy uniqueName="[APOCOCO].[PROFIT]" caption="PROFIT" attribute="1" defaultMemberUniqueName="[APOCOCO].[PROFIT].[All]" allUniqueName="[APOCOCO].[PROFIT].[All]" dimensionUniqueName="[APOCOCO]" displayFolder="" count="0" memberValueDatatype="5" unbalanced="0"/>
    <cacheHierarchy uniqueName="[APOCOCO].[COST OF GOODS SOLD]" caption="COST OF GOODS SOLD" attribute="1" defaultMemberUniqueName="[APOCOCO].[COST OF GOODS SOLD].[All]" allUniqueName="[APOCOCO].[COST OF GOODS SOLD].[All]" dimensionUniqueName="[APOCOCO]" displayFolder="" count="0" memberValueDatatype="5" unbalanced="0"/>
    <cacheHierarchy uniqueName="[APOCOCO].[VAT]" caption="VAT" attribute="1" defaultMemberUniqueName="[APOCOCO].[VAT].[All]" allUniqueName="[APOCOCO].[VAT].[All]" dimensionUniqueName="[APOCOCO]" displayFolder="" count="0" memberValueDatatype="5" unbalanced="0"/>
    <cacheHierarchy uniqueName="[APOCOCO5].[S/N]" caption="S/N" attribute="1" defaultMemberUniqueName="[APOCOCO5].[S/N].[All]" allUniqueName="[APOCOCO5].[S/N].[All]" dimensionUniqueName="[APOCOCO5]" displayFolder="" count="0" memberValueDatatype="20" unbalanced="0"/>
    <cacheHierarchy uniqueName="[APOCOCO5].[Customer]" caption="Customer" attribute="1" defaultMemberUniqueName="[APOCOCO5].[Customer].[All]" allUniqueName="[APOCOCO5].[Customer].[All]" dimensionUniqueName="[APOCOCO5]" displayFolder="" count="0" memberValueDatatype="130" unbalanced="0"/>
    <cacheHierarchy uniqueName="[APOCOCO5].[Product ID]" caption="Product ID" attribute="1" defaultMemberUniqueName="[APOCOCO5].[Product ID].[All]" allUniqueName="[APOCOCO5].[Product ID].[All]" dimensionUniqueName="[APOCOCO5]" displayFolder="" count="0" memberValueDatatype="20" unbalanced="0"/>
    <cacheHierarchy uniqueName="[APOCOCO5].[product name]" caption="product name" attribute="1" defaultMemberUniqueName="[APOCOCO5].[product name].[All]" allUniqueName="[APOCOCO5].[product name].[All]" dimensionUniqueName="[APOCOCO5]" displayFolder="" count="0" memberValueDatatype="130" unbalanced="0"/>
    <cacheHierarchy uniqueName="[APOCOCO5].[Order ID]" caption="Order ID" attribute="1" defaultMemberUniqueName="[APOCOCO5].[Order ID].[All]" allUniqueName="[APOCOCO5].[Order ID].[All]" dimensionUniqueName="[APOCOCO5]" displayFolder="" count="0" memberValueDatatype="20" unbalanced="0"/>
    <cacheHierarchy uniqueName="[APOCOCO5].[Units Sold]" caption="Units Sold" attribute="1" defaultMemberUniqueName="[APOCOCO5].[Units Sold].[All]" allUniqueName="[APOCOCO5].[Units Sold].[All]" dimensionUniqueName="[APOCOCO5]" displayFolder="" count="0" memberValueDatatype="20" unbalanced="0"/>
    <cacheHierarchy uniqueName="[APOCOCO5].[DATE]" caption="DATE" attribute="1" defaultMemberUniqueName="[APOCOCO5].[DATE].[All]" allUniqueName="[APOCOCO5].[DATE].[All]" dimensionUniqueName="[APOCOCO5]" displayFolder="" count="0" memberValueDatatype="130" unbalanced="0"/>
    <cacheHierarchy uniqueName="[APOCOCO5].[DAY]" caption="DAY" attribute="1" defaultMemberUniqueName="[APOCOCO5].[DAY].[All]" allUniqueName="[APOCOCO5].[DAY].[All]" dimensionUniqueName="[APOCOCO5]" displayFolder="" count="0" memberValueDatatype="20" unbalanced="0"/>
    <cacheHierarchy uniqueName="[APOCOCO5].[Date Purchased]" caption="Date Purchased" attribute="1" time="1" defaultMemberUniqueName="[APOCOCO5].[Date Purchased].[All]" allUniqueName="[APOCOCO5].[Date Purchased].[All]" dimensionUniqueName="[APOCOCO5]" displayFolder="" count="2" memberValueDatatype="7" unbalanced="0"/>
    <cacheHierarchy uniqueName="[QUES3].[customer]" caption="customer" attribute="1" defaultMemberUniqueName="[QUES3].[customer].[All]" allUniqueName="[QUES3].[customer].[All]" dimensionUniqueName="[QUES3]" displayFolder="" count="0" memberValueDatatype="130" unbalanced="0"/>
    <cacheHierarchy uniqueName="[QUES3].[product name]" caption="product name" attribute="1" defaultMemberUniqueName="[QUES3].[product name].[All]" allUniqueName="[QUES3].[product name].[All]" dimensionUniqueName="[QUES3]" displayFolder="" count="0" memberValueDatatype="130" unbalanced="0"/>
    <cacheHierarchy uniqueName="[QUES3].[Units Sold]" caption="Units Sold" attribute="1" defaultMemberUniqueName="[QUES3].[Units Sold].[All]" allUniqueName="[QUES3].[Units Sold].[All]" dimensionUniqueName="[QUES3]" displayFolder="" count="0" memberValueDatatype="20" unbalanced="0"/>
    <cacheHierarchy uniqueName="[STORE].[Product ID]" caption="Product ID" attribute="1" defaultMemberUniqueName="[STORE].[Product ID].[All]" allUniqueName="[STORE].[Product ID].[All]" dimensionUniqueName="[STORE]" displayFolder="" count="0" memberValueDatatype="20" unbalanced="0"/>
    <cacheHierarchy uniqueName="[STORE].[Product Name]" caption="Product Name" attribute="1" defaultMemberUniqueName="[STORE].[Product Name].[All]" allUniqueName="[STORE].[Product Name].[All]" dimensionUniqueName="[STORE]" displayFolder="" count="0" memberValueDatatype="130" unbalanced="0"/>
    <cacheHierarchy uniqueName="[STORE].[Price]" caption="Price" attribute="1" defaultMemberUniqueName="[STORE].[Price].[All]" allUniqueName="[STORE].[Price].[All]" dimensionUniqueName="[STORE]" displayFolder="" count="0" memberValueDatatype="5" unbalanced="0"/>
    <cacheHierarchy uniqueName="[STORE].[Production Cost]" caption="Production Cost" attribute="1" defaultMemberUniqueName="[STORE].[Production Cost].[All]" allUniqueName="[STORE].[Production Cost].[All]" dimensionUniqueName="[STORE]" displayFolder="" count="0" memberValueDatatype="5" unbalanced="0"/>
    <cacheHierarchy uniqueName="[Measures].[__XL_Count APOCOCO5]" caption="__XL_Count APOCOCO5" measure="1" displayFolder="" measureGroup="APOCOCO5" count="0" hidden="1"/>
    <cacheHierarchy uniqueName="[Measures].[__XL_Count STORE]" caption="__XL_Count STORE" measure="1" displayFolder="" measureGroup="STORE" count="0" hidden="1"/>
    <cacheHierarchy uniqueName="[Measures].[__XL_Count QUES3]" caption="__XL_Count QUES3" measure="1" displayFolder="" measureGroup="QUES3" count="0" hidden="1"/>
    <cacheHierarchy uniqueName="[Measures].[__XL_Count APOCOCO]" caption="__XL_Count APOCOCO" measure="1" displayFolder="" measureGroup="APOCOCO" count="0" hidden="1"/>
    <cacheHierarchy uniqueName="[Measures].[__No measures defined]" caption="__No measures defined" measure="1" displayFolder="" count="0" hidden="1"/>
    <cacheHierarchy uniqueName="[Measures].[Sum of Units Sold]" caption="Sum of Units Sold" measure="1" displayFolder="" measureGroup="QUES3"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APOCOC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17086318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n v="1"/>
    <x v="0"/>
    <n v="10006"/>
    <s v="Solar Battery Flashlight"/>
    <n v="1904"/>
    <x v="0"/>
    <s v="JANUARY"/>
    <n v="1"/>
    <d v="2022-01-01T00:00:00"/>
  </r>
  <r>
    <n v="2"/>
    <x v="1"/>
    <n v="10005"/>
    <s v="Multitool Survivial Knife"/>
    <n v="3966"/>
    <x v="1"/>
    <s v="JANUARY"/>
    <n v="2"/>
    <d v="2022-01-02T00:00:00"/>
  </r>
  <r>
    <n v="3"/>
    <x v="2"/>
    <n v="10004"/>
    <s v="Backpack"/>
    <n v="7348"/>
    <x v="2"/>
    <s v="JANUARY"/>
    <n v="3"/>
    <d v="2022-01-03T00:00:00"/>
  </r>
  <r>
    <n v="4"/>
    <x v="3"/>
    <n v="10005"/>
    <s v="Multitool Survivial Knife"/>
    <n v="2409"/>
    <x v="3"/>
    <s v="JANUARY"/>
    <n v="4"/>
    <d v="2022-01-04T00:00:00"/>
  </r>
  <r>
    <n v="5"/>
    <x v="0"/>
    <n v="10010"/>
    <s v="N95 Mask"/>
    <n v="2045"/>
    <x v="4"/>
    <s v="JANUARY"/>
    <n v="5"/>
    <d v="2022-01-05T00:00:00"/>
  </r>
  <r>
    <n v="6"/>
    <x v="1"/>
    <n v="10008"/>
    <s v="Duct Tape"/>
    <n v="9151"/>
    <x v="5"/>
    <s v="JANUARY"/>
    <n v="6"/>
    <d v="2022-01-06T00:00:00"/>
  </r>
  <r>
    <n v="7"/>
    <x v="2"/>
    <n v="10003"/>
    <s v="Stainless Steel Axe "/>
    <n v="1065"/>
    <x v="6"/>
    <s v="JANUARY"/>
    <n v="7"/>
    <d v="2022-01-07T00:00:00"/>
  </r>
  <r>
    <n v="8"/>
    <x v="3"/>
    <n v="10003"/>
    <s v="Stainless Steel Axe "/>
    <n v="3780"/>
    <x v="7"/>
    <s v="JANUARY"/>
    <n v="8"/>
    <d v="2022-01-08T00:00:00"/>
  </r>
  <r>
    <n v="9"/>
    <x v="0"/>
    <n v="10001"/>
    <s v="Nylon Rope"/>
    <n v="1043"/>
    <x v="8"/>
    <s v="JANUARY"/>
    <n v="9"/>
    <d v="2022-01-09T00:00:00"/>
  </r>
  <r>
    <n v="10"/>
    <x v="1"/>
    <n v="10007"/>
    <s v="Weatherproof Jacket"/>
    <n v="7075"/>
    <x v="9"/>
    <s v="JANUARY"/>
    <n v="10"/>
    <d v="2022-01-10T00:00:00"/>
  </r>
  <r>
    <n v="11"/>
    <x v="2"/>
    <n v="10001"/>
    <s v="Nylon Rope"/>
    <n v="6778"/>
    <x v="10"/>
    <s v="JANUARY"/>
    <n v="11"/>
    <d v="2022-01-11T00:00:00"/>
  </r>
  <r>
    <n v="12"/>
    <x v="3"/>
    <n v="10008"/>
    <s v="Duct Tape"/>
    <n v="3572"/>
    <x v="11"/>
    <s v="JANUARY"/>
    <n v="12"/>
    <d v="2022-01-12T00:00:00"/>
  </r>
  <r>
    <n v="13"/>
    <x v="0"/>
    <n v="10006"/>
    <s v="Solar Battery Flashlight"/>
    <n v="4033"/>
    <x v="12"/>
    <s v="JANUARY"/>
    <n v="13"/>
    <d v="2022-01-13T00:00:00"/>
  </r>
  <r>
    <n v="14"/>
    <x v="1"/>
    <n v="10005"/>
    <s v="Multitool Survivial Knife"/>
    <n v="2073"/>
    <x v="13"/>
    <s v="JANUARY"/>
    <n v="14"/>
    <d v="2022-01-14T00:00:00"/>
  </r>
  <r>
    <n v="15"/>
    <x v="2"/>
    <n v="10010"/>
    <s v="N95 Mask"/>
    <n v="7333"/>
    <x v="14"/>
    <s v="JANUARY"/>
    <n v="15"/>
    <d v="2022-01-15T00:00:00"/>
  </r>
  <r>
    <n v="16"/>
    <x v="3"/>
    <n v="10005"/>
    <s v="Multitool Survivial Knife"/>
    <n v="3352"/>
    <x v="15"/>
    <s v="JANUARY"/>
    <n v="16"/>
    <d v="2022-01-16T00:00:00"/>
  </r>
  <r>
    <n v="17"/>
    <x v="0"/>
    <n v="10003"/>
    <s v="Stainless Steel Axe "/>
    <n v="2078"/>
    <x v="16"/>
    <s v="JANUARY"/>
    <n v="17"/>
    <d v="2022-01-17T00:00:00"/>
  </r>
  <r>
    <n v="18"/>
    <x v="0"/>
    <n v="10005"/>
    <s v="Multitool Survivial Knife"/>
    <n v="7616"/>
    <x v="17"/>
    <s v="JANUARY"/>
    <n v="18"/>
    <d v="2022-01-18T00:00:00"/>
  </r>
  <r>
    <n v="19"/>
    <x v="1"/>
    <n v="10009"/>
    <s v="Water Purifier"/>
    <n v="6762"/>
    <x v="4"/>
    <s v="JANUARY"/>
    <n v="19"/>
    <d v="2022-01-19T00:00:00"/>
  </r>
  <r>
    <n v="20"/>
    <x v="2"/>
    <n v="10005"/>
    <s v="Multitool Survivial Knife"/>
    <n v="4556"/>
    <x v="16"/>
    <s v="JANUARY"/>
    <n v="20"/>
    <d v="2022-01-20T00:00:00"/>
  </r>
  <r>
    <n v="21"/>
    <x v="3"/>
    <n v="10008"/>
    <s v="Duct Tape"/>
    <n v="2659"/>
    <x v="18"/>
    <s v="JANUARY"/>
    <n v="21"/>
    <d v="2022-01-21T00:00:00"/>
  </r>
  <r>
    <n v="22"/>
    <x v="0"/>
    <n v="10005"/>
    <s v="Multitool Survivial Knife"/>
    <n v="5020"/>
    <x v="19"/>
    <s v="JANUARY"/>
    <n v="22"/>
    <d v="2022-01-22T00:00:00"/>
  </r>
  <r>
    <n v="23"/>
    <x v="1"/>
    <n v="10009"/>
    <s v="Water Purifier"/>
    <n v="3887"/>
    <x v="20"/>
    <s v="JANUARY"/>
    <n v="23"/>
    <d v="2022-01-23T00:00:00"/>
  </r>
  <r>
    <n v="24"/>
    <x v="2"/>
    <n v="10001"/>
    <s v="Nylon Rope"/>
    <n v="1341"/>
    <x v="21"/>
    <s v="JANUARY"/>
    <n v="24"/>
    <d v="2022-01-24T00:00:00"/>
  </r>
  <r>
    <n v="25"/>
    <x v="3"/>
    <n v="10006"/>
    <s v="Solar Battery Flashlight"/>
    <n v="8459"/>
    <x v="16"/>
    <s v="JANUARY"/>
    <n v="25"/>
    <d v="2022-01-25T00:00:00"/>
  </r>
  <r>
    <n v="26"/>
    <x v="0"/>
    <n v="10001"/>
    <s v="Nylon Rope"/>
    <n v="7175"/>
    <x v="22"/>
    <s v="JANUARY"/>
    <n v="26"/>
    <d v="2022-01-26T00:00:00"/>
  </r>
  <r>
    <n v="27"/>
    <x v="1"/>
    <n v="10009"/>
    <s v="Water Purifier"/>
    <n v="4267"/>
    <x v="23"/>
    <s v="JANUARY"/>
    <n v="27"/>
    <d v="2022-01-27T00:00:00"/>
  </r>
  <r>
    <n v="28"/>
    <x v="2"/>
    <n v="10007"/>
    <s v="Weatherproof Jacket"/>
    <n v="1157"/>
    <x v="24"/>
    <s v="JANUARY"/>
    <n v="28"/>
    <d v="2022-01-28T00:00:00"/>
  </r>
  <r>
    <n v="29"/>
    <x v="3"/>
    <n v="10008"/>
    <s v="Duct Tape"/>
    <n v="1753"/>
    <x v="25"/>
    <s v="JANUARY"/>
    <n v="29"/>
    <d v="2022-01-29T00:00:00"/>
  </r>
  <r>
    <n v="30"/>
    <x v="0"/>
    <n v="10006"/>
    <s v="Solar Battery Flashlight"/>
    <n v="1913"/>
    <x v="26"/>
    <s v="JANUARY"/>
    <n v="30"/>
    <d v="2022-01-30T00:00:00"/>
  </r>
  <r>
    <n v="31"/>
    <x v="0"/>
    <n v="10007"/>
    <s v="Weatherproof Jacket"/>
    <n v="4133"/>
    <x v="27"/>
    <s v="JANUARY"/>
    <n v="31"/>
    <d v="2022-01-31T00:00:00"/>
  </r>
  <r>
    <n v="32"/>
    <x v="0"/>
    <n v="10007"/>
    <s v="Weatherproof Jacket"/>
    <n v="9562"/>
    <x v="28"/>
    <s v="FEBRUARY"/>
    <n v="32"/>
    <d v="2022-02-01T00:00:00"/>
  </r>
  <r>
    <n v="33"/>
    <x v="1"/>
    <n v="10008"/>
    <s v="Duct Tape"/>
    <n v="3075"/>
    <x v="29"/>
    <s v="FEBRUARY"/>
    <n v="33"/>
    <d v="2022-02-02T00:00:00"/>
  </r>
  <r>
    <n v="34"/>
    <x v="2"/>
    <n v="10003"/>
    <s v="Stainless Steel Axe "/>
    <n v="7854"/>
    <x v="21"/>
    <s v="FEBRUARY"/>
    <n v="34"/>
    <d v="2022-02-03T00:00:00"/>
  </r>
  <r>
    <n v="35"/>
    <x v="3"/>
    <n v="10005"/>
    <s v="Multitool Survivial Knife"/>
    <n v="9057"/>
    <x v="30"/>
    <s v="FEBRUARY"/>
    <n v="35"/>
    <d v="2022-02-04T00:00:00"/>
  </r>
  <r>
    <n v="36"/>
    <x v="0"/>
    <n v="10002"/>
    <s v="Waterproof Matches"/>
    <n v="5779"/>
    <x v="0"/>
    <s v="FEBRUARY"/>
    <n v="36"/>
    <d v="2022-02-05T00:00:00"/>
  </r>
  <r>
    <n v="37"/>
    <x v="1"/>
    <n v="10001"/>
    <s v="Nylon Rope"/>
    <n v="3587"/>
    <x v="3"/>
    <s v="FEBRUARY"/>
    <n v="37"/>
    <d v="2022-02-06T00:00:00"/>
  </r>
  <r>
    <n v="38"/>
    <x v="2"/>
    <n v="10007"/>
    <s v="Weatherproof Jacket"/>
    <n v="3718"/>
    <x v="31"/>
    <s v="FEBRUARY"/>
    <n v="38"/>
    <d v="2022-02-07T00:00:00"/>
  </r>
  <r>
    <n v="39"/>
    <x v="3"/>
    <n v="10005"/>
    <s v="Multitool Survivial Knife"/>
    <n v="1875"/>
    <x v="32"/>
    <s v="FEBRUARY"/>
    <n v="39"/>
    <d v="2022-02-08T00:00:00"/>
  </r>
  <r>
    <n v="40"/>
    <x v="0"/>
    <n v="10005"/>
    <s v="Multitool Survivial Knife"/>
    <n v="8526"/>
    <x v="33"/>
    <s v="FEBRUARY"/>
    <n v="40"/>
    <d v="2022-02-09T00:00:00"/>
  </r>
  <r>
    <n v="41"/>
    <x v="1"/>
    <n v="10010"/>
    <s v="N95 Mask"/>
    <n v="7274"/>
    <x v="34"/>
    <s v="FEBRUARY"/>
    <n v="41"/>
    <d v="2022-02-10T00:00:00"/>
  </r>
  <r>
    <n v="42"/>
    <x v="2"/>
    <n v="10003"/>
    <s v="Stainless Steel Axe "/>
    <n v="4500"/>
    <x v="32"/>
    <s v="FEBRUARY"/>
    <n v="42"/>
    <d v="2022-02-11T00:00:00"/>
  </r>
  <r>
    <n v="43"/>
    <x v="3"/>
    <n v="10004"/>
    <s v="Backpack"/>
    <n v="3789"/>
    <x v="16"/>
    <s v="FEBRUARY"/>
    <n v="43"/>
    <d v="2022-02-12T00:00:00"/>
  </r>
  <r>
    <n v="44"/>
    <x v="0"/>
    <n v="10010"/>
    <s v="N95 Mask"/>
    <n v="3665"/>
    <x v="35"/>
    <s v="FEBRUARY"/>
    <n v="44"/>
    <d v="2022-02-13T00:00:00"/>
  </r>
  <r>
    <n v="45"/>
    <x v="1"/>
    <n v="10006"/>
    <s v="Solar Battery Flashlight"/>
    <n v="9760"/>
    <x v="36"/>
    <s v="FEBRUARY"/>
    <n v="45"/>
    <d v="2022-02-14T00:00:00"/>
  </r>
  <r>
    <n v="46"/>
    <x v="2"/>
    <n v="10003"/>
    <s v="Stainless Steel Axe "/>
    <n v="5432"/>
    <x v="37"/>
    <s v="FEBRUARY"/>
    <n v="46"/>
    <d v="2022-02-15T00:00:00"/>
  </r>
  <r>
    <n v="47"/>
    <x v="3"/>
    <n v="10008"/>
    <s v="Duct Tape"/>
    <n v="6035"/>
    <x v="8"/>
    <s v="FEBRUARY"/>
    <n v="47"/>
    <d v="2022-02-16T00:00:00"/>
  </r>
  <r>
    <n v="48"/>
    <x v="0"/>
    <n v="10003"/>
    <s v="Stainless Steel Axe "/>
    <n v="3522"/>
    <x v="38"/>
    <s v="FEBRUARY"/>
    <n v="48"/>
    <d v="2022-02-17T00:00:00"/>
  </r>
  <r>
    <n v="49"/>
    <x v="1"/>
    <n v="10007"/>
    <s v="Weatherproof Jacket"/>
    <n v="9305"/>
    <x v="5"/>
    <s v="FEBRUARY"/>
    <n v="49"/>
    <d v="2022-02-18T00:00:00"/>
  </r>
  <r>
    <n v="50"/>
    <x v="2"/>
    <n v="10005"/>
    <s v="Multitool Survivial Knife"/>
    <n v="1436"/>
    <x v="39"/>
    <s v="FEBRUARY"/>
    <n v="50"/>
    <d v="2022-02-19T00:00:00"/>
  </r>
  <r>
    <n v="51"/>
    <x v="3"/>
    <n v="10008"/>
    <s v="Duct Tape"/>
    <n v="9814"/>
    <x v="40"/>
    <s v="FEBRUARY"/>
    <n v="51"/>
    <d v="2022-02-20T00:00:00"/>
  </r>
  <r>
    <n v="52"/>
    <x v="0"/>
    <n v="10008"/>
    <s v="Duct Tape"/>
    <n v="8032"/>
    <x v="41"/>
    <s v="FEBRUARY"/>
    <n v="52"/>
    <d v="2022-02-21T00:00:00"/>
  </r>
  <r>
    <n v="53"/>
    <x v="1"/>
    <n v="10008"/>
    <s v="Duct Tape"/>
    <n v="7580"/>
    <x v="0"/>
    <s v="FEBRUARY"/>
    <n v="53"/>
    <d v="2022-02-22T00:00:00"/>
  </r>
  <r>
    <n v="54"/>
    <x v="2"/>
    <n v="10003"/>
    <s v="Stainless Steel Axe "/>
    <n v="5730"/>
    <x v="42"/>
    <s v="FEBRUARY"/>
    <n v="54"/>
    <d v="2022-02-23T00:00:00"/>
  </r>
  <r>
    <n v="55"/>
    <x v="3"/>
    <n v="10010"/>
    <s v="N95 Mask"/>
    <n v="5818"/>
    <x v="22"/>
    <s v="FEBRUARY"/>
    <n v="55"/>
    <d v="2022-02-24T00:00:00"/>
  </r>
  <r>
    <n v="56"/>
    <x v="0"/>
    <n v="10010"/>
    <s v="N95 Mask"/>
    <n v="2462"/>
    <x v="43"/>
    <s v="FEBRUARY"/>
    <n v="56"/>
    <d v="2022-02-25T00:00:00"/>
  </r>
  <r>
    <n v="57"/>
    <x v="1"/>
    <n v="10001"/>
    <s v="Nylon Rope"/>
    <n v="5989"/>
    <x v="4"/>
    <s v="FEBRUARY"/>
    <n v="57"/>
    <d v="2022-02-26T00:00:00"/>
  </r>
  <r>
    <n v="58"/>
    <x v="2"/>
    <n v="10002"/>
    <s v="Waterproof Matches"/>
    <n v="6153"/>
    <x v="14"/>
    <s v="FEBRUARY"/>
    <n v="58"/>
    <d v="2022-02-27T00:00:00"/>
  </r>
  <r>
    <n v="59"/>
    <x v="3"/>
    <n v="10006"/>
    <s v="Solar Battery Flashlight"/>
    <n v="4606"/>
    <x v="44"/>
    <s v="FEBRUARY"/>
    <n v="59"/>
    <d v="2022-02-28T00:00:00"/>
  </r>
  <r>
    <n v="60"/>
    <x v="0"/>
    <n v="10010"/>
    <s v="N95 Mask"/>
    <n v="2059"/>
    <x v="33"/>
    <s v="MARCH"/>
    <n v="60"/>
    <d v="2022-03-01T00:00:00"/>
  </r>
  <r>
    <n v="61"/>
    <x v="1"/>
    <n v="10003"/>
    <s v="Stainless Steel Axe "/>
    <n v="8063"/>
    <x v="36"/>
    <s v="MARCH"/>
    <n v="61"/>
    <d v="2022-03-02T00:00:00"/>
  </r>
  <r>
    <n v="62"/>
    <x v="2"/>
    <n v="10005"/>
    <s v="Multitool Survivial Knife"/>
    <n v="4266"/>
    <x v="39"/>
    <s v="MARCH"/>
    <n v="62"/>
    <d v="2022-03-03T00:00:00"/>
  </r>
  <r>
    <n v="63"/>
    <x v="3"/>
    <n v="10002"/>
    <s v="Waterproof Matches"/>
    <n v="7615"/>
    <x v="33"/>
    <s v="MARCH"/>
    <n v="63"/>
    <d v="2022-03-04T00:00:00"/>
  </r>
  <r>
    <n v="64"/>
    <x v="0"/>
    <n v="10004"/>
    <s v="Backpack"/>
    <n v="4859"/>
    <x v="30"/>
    <s v="MARCH"/>
    <n v="64"/>
    <d v="2022-03-05T00:00:00"/>
  </r>
  <r>
    <n v="65"/>
    <x v="2"/>
    <n v="10001"/>
    <s v="Nylon Rope"/>
    <n v="7625"/>
    <x v="45"/>
    <s v="MARCH"/>
    <n v="65"/>
    <d v="2022-03-06T00:00:00"/>
  </r>
  <r>
    <n v="66"/>
    <x v="0"/>
    <n v="10004"/>
    <s v="Backpack"/>
    <n v="9996"/>
    <x v="10"/>
    <s v="MARCH"/>
    <n v="66"/>
    <d v="2022-03-07T00:00:00"/>
  </r>
  <r>
    <n v="67"/>
    <x v="2"/>
    <n v="10001"/>
    <s v="Nylon Rope"/>
    <n v="6646"/>
    <x v="3"/>
    <s v="MARCH"/>
    <n v="67"/>
    <d v="2022-03-08T00:00:00"/>
  </r>
  <r>
    <n v="68"/>
    <x v="1"/>
    <n v="10004"/>
    <s v="Backpack"/>
    <n v="8427"/>
    <x v="46"/>
    <s v="MARCH"/>
    <n v="68"/>
    <d v="2022-03-09T00:00:00"/>
  </r>
  <r>
    <n v="69"/>
    <x v="2"/>
    <n v="10010"/>
    <s v="N95 Mask"/>
    <n v="2923"/>
    <x v="10"/>
    <s v="MARCH"/>
    <n v="69"/>
    <d v="2022-03-10T00:00:00"/>
  </r>
  <r>
    <n v="70"/>
    <x v="3"/>
    <n v="10007"/>
    <s v="Weatherproof Jacket"/>
    <n v="6624"/>
    <x v="39"/>
    <s v="MARCH"/>
    <n v="70"/>
    <d v="2022-03-11T00:00:00"/>
  </r>
  <r>
    <n v="71"/>
    <x v="0"/>
    <n v="10009"/>
    <s v="Water Purifier"/>
    <n v="4952"/>
    <x v="47"/>
    <s v="MARCH"/>
    <n v="71"/>
    <d v="2022-03-12T00:00:00"/>
  </r>
  <r>
    <n v="72"/>
    <x v="2"/>
    <n v="10005"/>
    <s v="Multitool Survivial Knife"/>
    <n v="9881"/>
    <x v="48"/>
    <s v="MARCH"/>
    <n v="72"/>
    <d v="2022-03-13T00:00:00"/>
  </r>
  <r>
    <n v="73"/>
    <x v="0"/>
    <n v="10002"/>
    <s v="Waterproof Matches"/>
    <n v="4464"/>
    <x v="6"/>
    <s v="MARCH"/>
    <n v="73"/>
    <d v="2022-03-14T00:00:00"/>
  </r>
  <r>
    <n v="74"/>
    <x v="2"/>
    <n v="10001"/>
    <s v="Nylon Rope"/>
    <n v="2005"/>
    <x v="27"/>
    <s v="MARCH"/>
    <n v="74"/>
    <d v="2022-03-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D6699-8B6D-418E-B3EF-FC8EA4435DD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9">
    <pivotField showAll="0"/>
    <pivotField showAll="0">
      <items count="5">
        <item x="1"/>
        <item x="2"/>
        <item x="3"/>
        <item x="0"/>
        <item t="default"/>
      </items>
    </pivotField>
    <pivotField showAll="0"/>
    <pivotField dataField="1" showAll="0"/>
    <pivotField showAll="0"/>
    <pivotField showAll="0">
      <items count="50">
        <item x="13"/>
        <item x="16"/>
        <item x="22"/>
        <item x="5"/>
        <item x="9"/>
        <item x="25"/>
        <item x="43"/>
        <item x="29"/>
        <item x="15"/>
        <item x="26"/>
        <item x="45"/>
        <item x="32"/>
        <item x="10"/>
        <item x="48"/>
        <item x="36"/>
        <item x="38"/>
        <item x="19"/>
        <item x="0"/>
        <item x="37"/>
        <item x="40"/>
        <item x="47"/>
        <item x="39"/>
        <item x="42"/>
        <item x="14"/>
        <item x="27"/>
        <item x="3"/>
        <item x="20"/>
        <item x="28"/>
        <item x="12"/>
        <item x="44"/>
        <item x="33"/>
        <item x="30"/>
        <item x="11"/>
        <item x="24"/>
        <item x="31"/>
        <item x="6"/>
        <item x="34"/>
        <item x="46"/>
        <item x="21"/>
        <item x="8"/>
        <item x="1"/>
        <item x="2"/>
        <item x="4"/>
        <item x="23"/>
        <item x="7"/>
        <item x="18"/>
        <item x="41"/>
        <item x="35"/>
        <item x="17"/>
        <item t="default"/>
      </items>
    </pivotField>
    <pivotField showAll="0"/>
    <pivotField showAll="0"/>
    <pivotField numFmtId="164" showAll="0"/>
  </pivotFields>
  <rowItems count="1">
    <i/>
  </rowItems>
  <colItems count="1">
    <i/>
  </colItems>
  <dataFields count="1">
    <dataField name="Count of product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F6EC83-7F22-48A2-8284-BB5B326BD075}" name="3" cacheId="138" applyNumberFormats="0" applyBorderFormats="0" applyFontFormats="0" applyPatternFormats="0" applyAlignmentFormats="0" applyWidthHeightFormats="1" dataCaption="Values" tag="617865df-e2f1-4066-a0f8-c64371b3c259" updatedVersion="7" minRefreshableVersion="3" useAutoFormatting="1" itemPrintTitles="1" createdVersion="7" indent="0" outline="1" outlineData="1" multipleFieldFilters="0" chartFormat="5">
  <location ref="F11:G1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OCOCO5]"/>
        <x15:activeTabTopLevelEntity name="[APOCO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0F2FC-E087-47E7-963E-D6FF6F69D6AB}" name="2" cacheId="135" applyNumberFormats="0" applyBorderFormats="0" applyFontFormats="0" applyPatternFormats="0" applyAlignmentFormats="0" applyWidthHeightFormats="1" dataCaption="Values" tag="f15d6ae0-8c6e-46a5-ba92-3e5111fa0e14" updatedVersion="7" minRefreshableVersion="3" useAutoFormatting="1" itemPrintTitles="1" createdVersion="7" indent="0" outline="1" outlineData="1" multipleFieldFilters="0" chartFormat="8">
  <location ref="F3:G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Units Sold"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OCOCO5].[product name].&amp;[Backpa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OCOCO5]"/>
        <x15:activeTabTopLevelEntity name="[QU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BC31A-B7BE-4D0C-BCBC-6D8E9ADCD993}" name="1" cacheId="132" applyNumberFormats="0" applyBorderFormats="0" applyFontFormats="0" applyPatternFormats="0" applyAlignmentFormats="0" applyWidthHeightFormats="1" dataCaption="Values" tag="85adaecf-2972-4c9c-8814-842b473b47d7" updatedVersion="7" minRefreshableVersion="5" useAutoFormatting="1" subtotalHiddenItems="1" itemPrintTitles="1" createdVersion="5" indent="0" showHeaders="0" outline="1" outlineData="1" multipleFieldFilters="0" chartFormat="5">
  <location ref="B3:C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Units Sold"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4" name="[APOCOCO5].[Date Purchased]">
      <autoFilter ref="A1">
        <filterColumn colId="0">
          <customFilters and="1">
            <customFilter operator="greaterThanOrEqual" val="44593"/>
            <customFilter operator="lessThanOrEqual" val="44742"/>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OCOCO5]"/>
        <x15:activeTabTopLevelEntity name="[QUES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E449FB1-44FD-48CA-AB4F-1E1BBA37FF6B}" sourceName="[APOCOCO5].[product name]">
  <pivotTables>
    <pivotTable tabId="11" name="1"/>
    <pivotTable tabId="11" name="2"/>
    <pivotTable tabId="11" name="3"/>
  </pivotTables>
  <data>
    <olap pivotCacheId="887318482">
      <levels count="2">
        <level uniqueName="[APOCOCO5].[product name].[(All)]" sourceCaption="(All)" count="0"/>
        <level uniqueName="[APOCOCO5].[product name].[product name]" sourceCaption="product name" count="10">
          <ranges>
            <range startItem="0">
              <i n="[APOCOCO5].[product name].&amp;[Backpack]" c="Backpack"/>
              <i n="[APOCOCO5].[product name].&amp;[Duct Tape]" c="Duct Tape"/>
              <i n="[APOCOCO5].[product name].&amp;[Multitool Survivial Knife]" c="Multitool Survivial Knife"/>
              <i n="[APOCOCO5].[product name].&amp;[N95 Mask]" c="N95 Mask"/>
              <i n="[APOCOCO5].[product name].&amp;[Nylon Rope]" c="Nylon Rope"/>
              <i n="[APOCOCO5].[product name].&amp;[Solar Battery Flashlight]" c="Solar Battery Flashlight"/>
              <i n="[APOCOCO5].[product name].&amp;[Stainless Steel Axe]" c="Stainless Steel Axe"/>
              <i n="[APOCOCO5].[product name].&amp;[Water Purifier]" c="Water Purifier"/>
              <i n="[APOCOCO5].[product name].&amp;[Waterproof Matches]" c="Waterproof Matches"/>
              <i n="[APOCOCO5].[product name].&amp;[Weatherproof Jacket]" c="Weatherproof Jacket"/>
            </range>
          </ranges>
        </level>
      </levels>
      <selections count="1">
        <selection n="[APOCOCO5].[product name].&amp;[Backpac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CD3BF60-DA2D-4E1F-BC40-EF9ABC411F72}" cache="Slicer_product_name" caption="product name" columnCount="2"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TORE" displayName="STORE" ref="A1:D11" totalsRowShown="0">
  <autoFilter ref="A1:D11" xr:uid="{00000000-0009-0000-0100-000002000000}">
    <filterColumn colId="0" hiddenButton="1"/>
    <filterColumn colId="1" hiddenButton="1"/>
    <filterColumn colId="2" hiddenButton="1"/>
    <filterColumn colId="3" hiddenButton="1"/>
  </autoFilter>
  <tableColumns count="4">
    <tableColumn id="1" xr3:uid="{00000000-0010-0000-0000-000001000000}" name="Product ID"/>
    <tableColumn id="2" xr3:uid="{00000000-0010-0000-0000-000002000000}" name="Product Name"/>
    <tableColumn id="3" xr3:uid="{00000000-0010-0000-0000-000003000000}" name="Price"/>
    <tableColumn id="4" xr3:uid="{00000000-0010-0000-0000-000004000000}" name="Production Cost"/>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APOCOCO" displayName="APOCOCO" ref="A1:P75" totalsRowShown="0">
  <tableColumns count="16">
    <tableColumn id="1" xr3:uid="{00000000-0010-0000-0100-000001000000}" name="S/N"/>
    <tableColumn id="2" xr3:uid="{00000000-0010-0000-0100-000002000000}" name="Customer"/>
    <tableColumn id="3" xr3:uid="{00000000-0010-0000-0100-000003000000}" name="Product ID"/>
    <tableColumn id="10" xr3:uid="{00000000-0010-0000-0100-00000A000000}" name="product name" dataDxfId="11">
      <calculatedColumnFormula>VLOOKUP(APOCOCO[[#This Row],[Product ID]],STORE[[#All],[Product ID]:[Product Name]],2,0)</calculatedColumnFormula>
    </tableColumn>
    <tableColumn id="4" xr3:uid="{00000000-0010-0000-0100-000004000000}" name="Order ID"/>
    <tableColumn id="5" xr3:uid="{00000000-0010-0000-0100-000005000000}" name="Units Sold"/>
    <tableColumn id="9" xr3:uid="{00000000-0010-0000-0100-000009000000}" name="DATE"/>
    <tableColumn id="12" xr3:uid="{00000000-0010-0000-0100-00000C000000}" name="DAY"/>
    <tableColumn id="6" xr3:uid="{00000000-0010-0000-0100-000006000000}" name="Date Purchased" dataDxfId="10"/>
    <tableColumn id="7" xr3:uid="{00000000-0010-0000-0100-000007000000}" name="SELLING PRICE" dataDxfId="9">
      <calculatedColumnFormula>VLOOKUP(APOCOCO[[#This Row],[Product ID]],STORE[],3,0)</calculatedColumnFormula>
    </tableColumn>
    <tableColumn id="8" xr3:uid="{00000000-0010-0000-0100-000008000000}" name="TOTAL SALES" dataDxfId="8">
      <calculatedColumnFormula>APOCOCO[[#This Row],[Units Sold]]*APOCOCO[[#This Row],[SELLING PRICE]]</calculatedColumnFormula>
    </tableColumn>
    <tableColumn id="11" xr3:uid="{00000000-0010-0000-0100-00000B000000}" name="COST PRICE" dataDxfId="7">
      <calculatedColumnFormula>VLOOKUP(APOCOCO[[#This Row],[Product ID]],STORE[],4,0)</calculatedColumnFormula>
    </tableColumn>
    <tableColumn id="13" xr3:uid="{00000000-0010-0000-0100-00000D000000}" name="TOTAL COST PRICE" dataDxfId="6">
      <calculatedColumnFormula>APOCOCO[[#This Row],[COST PRICE]]*APOCOCO[[#This Row],[Units Sold]]</calculatedColumnFormula>
    </tableColumn>
    <tableColumn id="14" xr3:uid="{00000000-0010-0000-0100-00000E000000}" name="PROFIT" dataDxfId="5">
      <calculatedColumnFormula>APOCOCO[[#This Row],[TOTAL SALES]]-APOCOCO[[#This Row],[TOTAL COST PRICE]]</calculatedColumnFormula>
    </tableColumn>
    <tableColumn id="15" xr3:uid="{00000000-0010-0000-0100-00000F000000}" name="COST OF GOODS SOLD" dataDxfId="4">
      <calculatedColumnFormula>APOCOCO[[#This Row],[TOTAL SALES]]-APOCOCO[[#This Row],[VAT]]</calculatedColumnFormula>
    </tableColumn>
    <tableColumn id="16" xr3:uid="{00000000-0010-0000-0100-000010000000}" name="VAT" dataDxfId="3">
      <calculatedColumnFormula>7.5%*APOCOCO[[#This Row],[TOTAL SALES]]</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686D13-5B1E-4630-B54B-19C8D6A47DF2}" name="APOCOCO5" displayName="APOCOCO5" ref="A1:I75" totalsRowShown="0">
  <tableColumns count="9">
    <tableColumn id="1" xr3:uid="{45586E6E-5CC0-4844-997F-F311FCB39653}" name="S/N"/>
    <tableColumn id="2" xr3:uid="{AF83D5BF-3CF3-416A-8D46-A51C672D8158}" name="Customer"/>
    <tableColumn id="3" xr3:uid="{A8A79344-A873-47D9-861B-4C4BD949C5F3}" name="Product ID"/>
    <tableColumn id="10" xr3:uid="{B85BD8DB-5B4B-4166-86C1-A4587B118E6A}" name="product name" dataDxfId="1">
      <calculatedColumnFormula>VLOOKUP(APOCOCO5[[#This Row],[Product ID]],STORE[[#All],[Product ID]:[Product Name]],2,0)</calculatedColumnFormula>
    </tableColumn>
    <tableColumn id="4" xr3:uid="{CD846168-8EC0-405B-BDC9-F5BE1C983EB7}" name="Order ID"/>
    <tableColumn id="5" xr3:uid="{0B8BF641-192D-400D-B862-0316B7447CC5}" name="Units Sold"/>
    <tableColumn id="9" xr3:uid="{2EE4A2C5-6673-4802-99EE-7AC2CD29FE6F}" name="DATE"/>
    <tableColumn id="12" xr3:uid="{45D0E338-7811-4BA0-8874-0150B8E896E8}" name="DAY"/>
    <tableColumn id="6" xr3:uid="{FF070B0C-35F5-4F2E-A1FF-87127CE82F97}" name="Date Purchased" dataDxfId="0"/>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ES3" displayName="QUES3" ref="G1:I75" totalsRowShown="0">
  <autoFilter ref="G1:I75" xr:uid="{00000000-0009-0000-0100-000003000000}">
    <filterColumn colId="0" hiddenButton="1"/>
    <filterColumn colId="1" hiddenButton="1"/>
    <filterColumn colId="2" hiddenButton="1"/>
  </autoFilter>
  <tableColumns count="3">
    <tableColumn id="1" xr3:uid="{00000000-0010-0000-0200-000001000000}" name="customer"/>
    <tableColumn id="2" xr3:uid="{00000000-0010-0000-0200-000002000000}" name="product name">
      <calculatedColumnFormula>VLOOKUP(APOCOCO[[#This Row],[Product ID]],STORE[[#All],[Product ID]:[Product Name]],2,0)</calculatedColumnFormula>
    </tableColumn>
    <tableColumn id="3" xr3:uid="{00000000-0010-0000-0200-000003000000}" name="Units Sold"/>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Purchased" xr10:uid="{DB3A55F6-BD2C-4800-940D-2E46F32D99A5}" sourceName="[APOCOCO5].[Date Purchased]">
  <pivotTables>
    <pivotTable tabId="11" name="1"/>
  </pivotTables>
  <state minimalRefreshVersion="6" lastRefreshVersion="6" pivotCacheId="1708631831" filterType="dateBetween">
    <selection startDate="2022-02-01T00:00:00" endDate="2022-06-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Purchased" xr10:uid="{4A6DF74D-B5B3-49ED-8767-0E0713CCF10E}" cache="Timeline_Date_Purchased" caption="Date Purchased"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opLeftCell="A20" workbookViewId="0">
      <selection activeCell="A37" sqref="A37"/>
    </sheetView>
  </sheetViews>
  <sheetFormatPr defaultRowHeight="15" x14ac:dyDescent="0.25"/>
  <cols>
    <col min="1" max="1" width="12.28515625" style="1" customWidth="1"/>
    <col min="2" max="2" width="27.28515625" bestFit="1" customWidth="1"/>
    <col min="4" max="4" width="17.140625" customWidth="1"/>
  </cols>
  <sheetData>
    <row r="1" spans="1:4" x14ac:dyDescent="0.25">
      <c r="A1" s="1" t="s">
        <v>3</v>
      </c>
      <c r="B1" t="s">
        <v>6</v>
      </c>
      <c r="C1" t="s">
        <v>0</v>
      </c>
      <c r="D1" t="s">
        <v>7</v>
      </c>
    </row>
    <row r="2" spans="1:4" x14ac:dyDescent="0.25">
      <c r="A2">
        <v>10001</v>
      </c>
      <c r="B2" t="s">
        <v>13</v>
      </c>
      <c r="C2">
        <v>30.99</v>
      </c>
      <c r="D2">
        <v>13.67</v>
      </c>
    </row>
    <row r="3" spans="1:4" x14ac:dyDescent="0.25">
      <c r="A3">
        <v>10002</v>
      </c>
      <c r="B3" t="s">
        <v>14</v>
      </c>
      <c r="C3">
        <v>7.99</v>
      </c>
      <c r="D3">
        <v>2.89</v>
      </c>
    </row>
    <row r="4" spans="1:4" x14ac:dyDescent="0.25">
      <c r="A4">
        <v>10003</v>
      </c>
      <c r="B4" t="s">
        <v>8</v>
      </c>
      <c r="C4">
        <v>45.5</v>
      </c>
      <c r="D4">
        <v>32.450000000000003</v>
      </c>
    </row>
    <row r="5" spans="1:4" x14ac:dyDescent="0.25">
      <c r="A5">
        <v>10004</v>
      </c>
      <c r="B5" t="s">
        <v>9</v>
      </c>
      <c r="C5">
        <v>39.99</v>
      </c>
      <c r="D5">
        <v>26.92</v>
      </c>
    </row>
    <row r="6" spans="1:4" x14ac:dyDescent="0.25">
      <c r="A6">
        <v>10005</v>
      </c>
      <c r="B6" t="s">
        <v>10</v>
      </c>
      <c r="C6">
        <v>28.99</v>
      </c>
      <c r="D6">
        <v>10.58</v>
      </c>
    </row>
    <row r="7" spans="1:4" x14ac:dyDescent="0.25">
      <c r="A7">
        <v>10006</v>
      </c>
      <c r="B7" t="s">
        <v>11</v>
      </c>
      <c r="C7">
        <v>26.49</v>
      </c>
      <c r="D7">
        <v>13.41</v>
      </c>
    </row>
    <row r="8" spans="1:4" x14ac:dyDescent="0.25">
      <c r="A8">
        <v>10007</v>
      </c>
      <c r="B8" t="s">
        <v>12</v>
      </c>
      <c r="C8">
        <v>79.989999999999995</v>
      </c>
      <c r="D8">
        <v>30.59</v>
      </c>
    </row>
    <row r="9" spans="1:4" x14ac:dyDescent="0.25">
      <c r="A9">
        <v>10008</v>
      </c>
      <c r="B9" t="s">
        <v>1</v>
      </c>
      <c r="C9">
        <v>6.25</v>
      </c>
      <c r="D9">
        <v>4.87</v>
      </c>
    </row>
    <row r="10" spans="1:4" x14ac:dyDescent="0.25">
      <c r="A10">
        <v>10009</v>
      </c>
      <c r="B10" t="s">
        <v>15</v>
      </c>
      <c r="C10">
        <v>30.25</v>
      </c>
      <c r="D10">
        <v>17.93</v>
      </c>
    </row>
    <row r="11" spans="1:4" x14ac:dyDescent="0.25">
      <c r="A11">
        <v>10010</v>
      </c>
      <c r="B11" t="s">
        <v>16</v>
      </c>
      <c r="C11">
        <v>2.75</v>
      </c>
      <c r="D11">
        <v>1.01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5"/>
  <sheetViews>
    <sheetView zoomScale="112" zoomScaleNormal="112" workbookViewId="0"/>
  </sheetViews>
  <sheetFormatPr defaultRowHeight="15" x14ac:dyDescent="0.25"/>
  <cols>
    <col min="2" max="2" width="32.28515625" bestFit="1" customWidth="1"/>
    <col min="3" max="3" width="12.85546875" customWidth="1"/>
    <col min="4" max="4" width="22.85546875" bestFit="1" customWidth="1"/>
    <col min="5" max="5" width="10.140625" customWidth="1"/>
    <col min="6" max="8" width="11.5703125" customWidth="1"/>
    <col min="9" max="9" width="28.28515625" style="3" bestFit="1" customWidth="1"/>
    <col min="10" max="10" width="13.7109375" bestFit="1" customWidth="1"/>
    <col min="11" max="11" width="12.28515625" bestFit="1" customWidth="1"/>
    <col min="12" max="12" width="11" bestFit="1" customWidth="1"/>
    <col min="13" max="13" width="17.28515625" style="5" bestFit="1" customWidth="1"/>
    <col min="14" max="14" width="17.28515625" style="5" customWidth="1"/>
    <col min="15" max="15" width="20.7109375" style="5" bestFit="1" customWidth="1"/>
    <col min="16" max="18" width="17.28515625" style="5" customWidth="1"/>
    <col min="19" max="19" width="22.85546875" bestFit="1" customWidth="1"/>
  </cols>
  <sheetData>
    <row r="1" spans="1:20" x14ac:dyDescent="0.25">
      <c r="A1" t="s">
        <v>22</v>
      </c>
      <c r="B1" t="s">
        <v>2</v>
      </c>
      <c r="C1" t="s">
        <v>3</v>
      </c>
      <c r="D1" t="s">
        <v>29</v>
      </c>
      <c r="E1" t="s">
        <v>4</v>
      </c>
      <c r="F1" t="s">
        <v>5</v>
      </c>
      <c r="G1" t="s">
        <v>25</v>
      </c>
      <c r="H1" t="s">
        <v>31</v>
      </c>
      <c r="I1" s="3" t="s">
        <v>21</v>
      </c>
      <c r="J1" t="s">
        <v>38</v>
      </c>
      <c r="K1" t="s">
        <v>23</v>
      </c>
      <c r="L1" t="s">
        <v>39</v>
      </c>
      <c r="M1" s="5" t="s">
        <v>40</v>
      </c>
      <c r="N1" s="5" t="s">
        <v>41</v>
      </c>
      <c r="O1" s="5" t="s">
        <v>42</v>
      </c>
      <c r="P1" s="5" t="s">
        <v>43</v>
      </c>
      <c r="S1" t="s">
        <v>30</v>
      </c>
    </row>
    <row r="2" spans="1:20" x14ac:dyDescent="0.25">
      <c r="A2">
        <v>1</v>
      </c>
      <c r="B2" t="s">
        <v>17</v>
      </c>
      <c r="C2">
        <v>10006</v>
      </c>
      <c r="D2" t="str">
        <f>VLOOKUP(APOCOCO[[#This Row],[Product ID]],STORE[[#All],[Product ID]:[Product Name]],2,0)</f>
        <v>Solar Battery Flashlight</v>
      </c>
      <c r="E2">
        <v>1904</v>
      </c>
      <c r="F2">
        <v>32</v>
      </c>
      <c r="G2" t="s">
        <v>26</v>
      </c>
      <c r="H2">
        <v>1</v>
      </c>
      <c r="I2" s="3">
        <v>44562</v>
      </c>
      <c r="J2">
        <f>VLOOKUP(APOCOCO[[#This Row],[Product ID]],STORE[],3,0)</f>
        <v>26.49</v>
      </c>
      <c r="K2">
        <f>APOCOCO[[#This Row],[Units Sold]]*APOCOCO[[#This Row],[SELLING PRICE]]</f>
        <v>847.68</v>
      </c>
      <c r="L2">
        <f>VLOOKUP(APOCOCO[[#This Row],[Product ID]],STORE[],4,0)</f>
        <v>13.41</v>
      </c>
      <c r="M2" s="5">
        <f>APOCOCO[[#This Row],[COST PRICE]]*APOCOCO[[#This Row],[Units Sold]]</f>
        <v>429.12</v>
      </c>
      <c r="N2" s="5">
        <f>APOCOCO[[#This Row],[TOTAL SALES]]-APOCOCO[[#This Row],[TOTAL COST PRICE]]</f>
        <v>418.55999999999995</v>
      </c>
      <c r="O2" s="5">
        <f>APOCOCO[[#This Row],[TOTAL SALES]]-APOCOCO[[#This Row],[VAT]]</f>
        <v>784.10399999999993</v>
      </c>
      <c r="P2" s="5">
        <f>7.5%*APOCOCO[[#This Row],[TOTAL SALES]]</f>
        <v>63.575999999999993</v>
      </c>
      <c r="S2" t="str">
        <f>VLOOKUP(APOCOCO[[#This Row],[Product ID]],STORE[[#All],[Product ID]:[Product Name]],2,0)</f>
        <v>Solar Battery Flashlight</v>
      </c>
      <c r="T2">
        <f>SUMIF(S:S,S2,F:F)</f>
        <v>32</v>
      </c>
    </row>
    <row r="3" spans="1:20" x14ac:dyDescent="0.25">
      <c r="A3">
        <v>2</v>
      </c>
      <c r="B3" t="s">
        <v>18</v>
      </c>
      <c r="C3">
        <v>10005</v>
      </c>
      <c r="D3" t="str">
        <f>VLOOKUP(APOCOCO[[#This Row],[Product ID]],STORE[[#All],[Product ID]:[Product Name]],2,0)</f>
        <v>Multitool Survivial Knife</v>
      </c>
      <c r="E3">
        <v>3966</v>
      </c>
      <c r="F3">
        <v>68</v>
      </c>
      <c r="G3" t="s">
        <v>26</v>
      </c>
      <c r="H3">
        <v>2</v>
      </c>
      <c r="I3" s="3">
        <v>44563</v>
      </c>
      <c r="J3">
        <f>VLOOKUP(APOCOCO[[#This Row],[Product ID]],STORE[],3,0)</f>
        <v>28.99</v>
      </c>
      <c r="K3">
        <f>APOCOCO[[#This Row],[Units Sold]]*APOCOCO[[#This Row],[SELLING PRICE]]</f>
        <v>1971.32</v>
      </c>
      <c r="L3">
        <f>VLOOKUP(APOCOCO[[#This Row],[Product ID]],STORE[],4,0)</f>
        <v>10.58</v>
      </c>
      <c r="M3" s="5">
        <f>APOCOCO[[#This Row],[COST PRICE]]*APOCOCO[[#This Row],[Units Sold]]</f>
        <v>719.44</v>
      </c>
      <c r="N3" s="5">
        <f>APOCOCO[[#This Row],[TOTAL SALES]]-APOCOCO[[#This Row],[TOTAL COST PRICE]]</f>
        <v>1251.8799999999999</v>
      </c>
      <c r="O3" s="5">
        <f>APOCOCO[[#This Row],[TOTAL SALES]]-APOCOCO[[#This Row],[VAT]]</f>
        <v>1823.471</v>
      </c>
      <c r="P3" s="5">
        <f>7.5%*APOCOCO[[#This Row],[TOTAL SALES]]</f>
        <v>147.84899999999999</v>
      </c>
      <c r="S3" t="str">
        <f>VLOOKUP(APOCOCO[[#This Row],[Product ID]],STORE[[#All],[Product ID]:[Product Name]],2,0)</f>
        <v>Multitool Survivial Knife</v>
      </c>
      <c r="T3">
        <f t="shared" ref="T3:T11" si="0">SUMIF(S:S,S3,F:F)</f>
        <v>116</v>
      </c>
    </row>
    <row r="4" spans="1:20" x14ac:dyDescent="0.25">
      <c r="A4">
        <v>3</v>
      </c>
      <c r="B4" t="s">
        <v>19</v>
      </c>
      <c r="C4">
        <v>10004</v>
      </c>
      <c r="D4" t="str">
        <f>VLOOKUP(APOCOCO[[#This Row],[Product ID]],STORE[[#All],[Product ID]:[Product Name]],2,0)</f>
        <v>Backpack</v>
      </c>
      <c r="E4">
        <v>7348</v>
      </c>
      <c r="F4">
        <v>69</v>
      </c>
      <c r="G4" t="s">
        <v>26</v>
      </c>
      <c r="H4">
        <v>3</v>
      </c>
      <c r="I4" s="3">
        <v>44564</v>
      </c>
      <c r="J4">
        <f>VLOOKUP(APOCOCO[[#This Row],[Product ID]],STORE[],3,0)</f>
        <v>39.99</v>
      </c>
      <c r="K4">
        <f>APOCOCO[[#This Row],[Units Sold]]*APOCOCO[[#This Row],[SELLING PRICE]]</f>
        <v>2759.31</v>
      </c>
      <c r="L4">
        <f>VLOOKUP(APOCOCO[[#This Row],[Product ID]],STORE[],4,0)</f>
        <v>26.92</v>
      </c>
      <c r="M4" s="5">
        <f>APOCOCO[[#This Row],[COST PRICE]]*APOCOCO[[#This Row],[Units Sold]]</f>
        <v>1857.48</v>
      </c>
      <c r="N4" s="5">
        <f>APOCOCO[[#This Row],[TOTAL SALES]]-APOCOCO[[#This Row],[TOTAL COST PRICE]]</f>
        <v>901.82999999999993</v>
      </c>
      <c r="O4" s="5">
        <f>APOCOCO[[#This Row],[TOTAL SALES]]-APOCOCO[[#This Row],[VAT]]</f>
        <v>2552.36175</v>
      </c>
      <c r="P4" s="5">
        <f>7.5%*APOCOCO[[#This Row],[TOTAL SALES]]</f>
        <v>206.94825</v>
      </c>
      <c r="S4" t="str">
        <f>VLOOKUP(APOCOCO[[#This Row],[Product ID]],STORE[[#All],[Product ID]:[Product Name]],2,0)</f>
        <v>Backpack</v>
      </c>
      <c r="T4">
        <f t="shared" si="0"/>
        <v>69</v>
      </c>
    </row>
    <row r="5" spans="1:20" x14ac:dyDescent="0.25">
      <c r="A5">
        <v>4</v>
      </c>
      <c r="B5" t="s">
        <v>20</v>
      </c>
      <c r="C5">
        <v>10005</v>
      </c>
      <c r="D5" t="str">
        <f>VLOOKUP(APOCOCO[[#This Row],[Product ID]],STORE[[#All],[Product ID]:[Product Name]],2,0)</f>
        <v>Multitool Survivial Knife</v>
      </c>
      <c r="E5">
        <v>2409</v>
      </c>
      <c r="F5">
        <v>48</v>
      </c>
      <c r="G5" t="s">
        <v>26</v>
      </c>
      <c r="H5">
        <v>4</v>
      </c>
      <c r="I5" s="3">
        <v>44565</v>
      </c>
      <c r="J5">
        <f>VLOOKUP(APOCOCO[[#This Row],[Product ID]],STORE[],3,0)</f>
        <v>28.99</v>
      </c>
      <c r="K5">
        <f>APOCOCO[[#This Row],[Units Sold]]*APOCOCO[[#This Row],[SELLING PRICE]]</f>
        <v>1391.52</v>
      </c>
      <c r="L5">
        <f>VLOOKUP(APOCOCO[[#This Row],[Product ID]],STORE[],4,0)</f>
        <v>10.58</v>
      </c>
      <c r="M5" s="5">
        <f>APOCOCO[[#This Row],[COST PRICE]]*APOCOCO[[#This Row],[Units Sold]]</f>
        <v>507.84000000000003</v>
      </c>
      <c r="N5" s="5">
        <f>APOCOCO[[#This Row],[TOTAL SALES]]-APOCOCO[[#This Row],[TOTAL COST PRICE]]</f>
        <v>883.68</v>
      </c>
      <c r="O5" s="5">
        <f>APOCOCO[[#This Row],[TOTAL SALES]]-APOCOCO[[#This Row],[VAT]]</f>
        <v>1287.1559999999999</v>
      </c>
      <c r="P5" s="5">
        <f>7.5%*APOCOCO[[#This Row],[TOTAL SALES]]</f>
        <v>104.36399999999999</v>
      </c>
      <c r="S5" t="str">
        <f>VLOOKUP(APOCOCO[[#This Row],[Product ID]],STORE[[#All],[Product ID]:[Product Name]],2,0)</f>
        <v>Multitool Survivial Knife</v>
      </c>
      <c r="T5">
        <f t="shared" si="0"/>
        <v>116</v>
      </c>
    </row>
    <row r="6" spans="1:20" x14ac:dyDescent="0.25">
      <c r="A6">
        <v>5</v>
      </c>
      <c r="B6" t="s">
        <v>17</v>
      </c>
      <c r="C6">
        <v>10010</v>
      </c>
      <c r="D6" t="str">
        <f>VLOOKUP(APOCOCO[[#This Row],[Product ID]],STORE[[#All],[Product ID]:[Product Name]],2,0)</f>
        <v>N95 Mask</v>
      </c>
      <c r="E6">
        <v>2045</v>
      </c>
      <c r="F6">
        <v>70</v>
      </c>
      <c r="G6" t="s">
        <v>26</v>
      </c>
      <c r="H6">
        <v>5</v>
      </c>
      <c r="I6" s="3">
        <v>44566</v>
      </c>
      <c r="J6">
        <f>VLOOKUP(APOCOCO[[#This Row],[Product ID]],STORE[],3,0)</f>
        <v>2.75</v>
      </c>
      <c r="K6">
        <f>APOCOCO[[#This Row],[Units Sold]]*APOCOCO[[#This Row],[SELLING PRICE]]</f>
        <v>192.5</v>
      </c>
      <c r="L6">
        <f>VLOOKUP(APOCOCO[[#This Row],[Product ID]],STORE[],4,0)</f>
        <v>1.01</v>
      </c>
      <c r="M6" s="5">
        <f>APOCOCO[[#This Row],[COST PRICE]]*APOCOCO[[#This Row],[Units Sold]]</f>
        <v>70.7</v>
      </c>
      <c r="N6" s="5">
        <f>APOCOCO[[#This Row],[TOTAL SALES]]-APOCOCO[[#This Row],[TOTAL COST PRICE]]</f>
        <v>121.8</v>
      </c>
      <c r="O6" s="5">
        <f>APOCOCO[[#This Row],[TOTAL SALES]]-APOCOCO[[#This Row],[VAT]]</f>
        <v>178.0625</v>
      </c>
      <c r="P6" s="5">
        <f>7.5%*APOCOCO[[#This Row],[TOTAL SALES]]</f>
        <v>14.4375</v>
      </c>
      <c r="S6" t="str">
        <f>VLOOKUP(APOCOCO[[#This Row],[Product ID]],STORE[[#All],[Product ID]:[Product Name]],2,0)</f>
        <v>N95 Mask</v>
      </c>
      <c r="T6">
        <f t="shared" si="0"/>
        <v>70</v>
      </c>
    </row>
    <row r="7" spans="1:20" x14ac:dyDescent="0.25">
      <c r="A7">
        <v>6</v>
      </c>
      <c r="B7" t="s">
        <v>18</v>
      </c>
      <c r="C7">
        <v>10008</v>
      </c>
      <c r="D7" t="str">
        <f>VLOOKUP(APOCOCO[[#This Row],[Product ID]],STORE[[#All],[Product ID]:[Product Name]],2,0)</f>
        <v>Duct Tape</v>
      </c>
      <c r="E7">
        <v>9151</v>
      </c>
      <c r="F7">
        <v>6</v>
      </c>
      <c r="G7" t="s">
        <v>26</v>
      </c>
      <c r="H7">
        <v>6</v>
      </c>
      <c r="I7" s="3">
        <v>44567</v>
      </c>
      <c r="J7">
        <f>VLOOKUP(APOCOCO[[#This Row],[Product ID]],STORE[],3,0)</f>
        <v>6.25</v>
      </c>
      <c r="K7">
        <f>APOCOCO[[#This Row],[Units Sold]]*APOCOCO[[#This Row],[SELLING PRICE]]</f>
        <v>37.5</v>
      </c>
      <c r="L7">
        <f>VLOOKUP(APOCOCO[[#This Row],[Product ID]],STORE[],4,0)</f>
        <v>4.87</v>
      </c>
      <c r="M7" s="5">
        <f>APOCOCO[[#This Row],[COST PRICE]]*APOCOCO[[#This Row],[Units Sold]]</f>
        <v>29.22</v>
      </c>
      <c r="N7" s="5">
        <f>APOCOCO[[#This Row],[TOTAL SALES]]-APOCOCO[[#This Row],[TOTAL COST PRICE]]</f>
        <v>8.2800000000000011</v>
      </c>
      <c r="O7" s="5">
        <f>APOCOCO[[#This Row],[TOTAL SALES]]-APOCOCO[[#This Row],[VAT]]</f>
        <v>34.6875</v>
      </c>
      <c r="P7" s="5">
        <f>7.5%*APOCOCO[[#This Row],[TOTAL SALES]]</f>
        <v>2.8125</v>
      </c>
      <c r="S7" t="str">
        <f>VLOOKUP(APOCOCO[[#This Row],[Product ID]],STORE[[#All],[Product ID]:[Product Name]],2,0)</f>
        <v>Duct Tape</v>
      </c>
      <c r="T7">
        <f t="shared" si="0"/>
        <v>6</v>
      </c>
    </row>
    <row r="8" spans="1:20" x14ac:dyDescent="0.25">
      <c r="A8">
        <v>7</v>
      </c>
      <c r="B8" t="s">
        <v>19</v>
      </c>
      <c r="C8">
        <v>10003</v>
      </c>
      <c r="D8" t="str">
        <f>VLOOKUP(APOCOCO[[#This Row],[Product ID]],STORE[[#All],[Product ID]:[Product Name]],2,0)</f>
        <v xml:space="preserve">Stainless Steel Axe </v>
      </c>
      <c r="E8">
        <v>1065</v>
      </c>
      <c r="F8">
        <v>59</v>
      </c>
      <c r="G8" t="s">
        <v>26</v>
      </c>
      <c r="H8">
        <v>7</v>
      </c>
      <c r="I8" s="3">
        <v>44568</v>
      </c>
      <c r="J8">
        <f>VLOOKUP(APOCOCO[[#This Row],[Product ID]],STORE[],3,0)</f>
        <v>45.5</v>
      </c>
      <c r="K8">
        <f>APOCOCO[[#This Row],[Units Sold]]*APOCOCO[[#This Row],[SELLING PRICE]]</f>
        <v>2684.5</v>
      </c>
      <c r="L8">
        <f>VLOOKUP(APOCOCO[[#This Row],[Product ID]],STORE[],4,0)</f>
        <v>32.450000000000003</v>
      </c>
      <c r="M8" s="5">
        <f>APOCOCO[[#This Row],[COST PRICE]]*APOCOCO[[#This Row],[Units Sold]]</f>
        <v>1914.5500000000002</v>
      </c>
      <c r="N8" s="5">
        <f>APOCOCO[[#This Row],[TOTAL SALES]]-APOCOCO[[#This Row],[TOTAL COST PRICE]]</f>
        <v>769.94999999999982</v>
      </c>
      <c r="O8" s="5">
        <f>APOCOCO[[#This Row],[TOTAL SALES]]-APOCOCO[[#This Row],[VAT]]</f>
        <v>2483.1624999999999</v>
      </c>
      <c r="P8" s="5">
        <f>7.5%*APOCOCO[[#This Row],[TOTAL SALES]]</f>
        <v>201.33750000000001</v>
      </c>
      <c r="S8" t="str">
        <f>VLOOKUP(APOCOCO[[#This Row],[Product ID]],STORE[[#All],[Product ID]:[Product Name]],2,0)</f>
        <v xml:space="preserve">Stainless Steel Axe </v>
      </c>
      <c r="T8">
        <f t="shared" si="0"/>
        <v>131</v>
      </c>
    </row>
    <row r="9" spans="1:20" x14ac:dyDescent="0.25">
      <c r="A9">
        <v>8</v>
      </c>
      <c r="B9" t="s">
        <v>20</v>
      </c>
      <c r="C9">
        <v>10003</v>
      </c>
      <c r="D9" t="str">
        <f>VLOOKUP(APOCOCO[[#This Row],[Product ID]],STORE[[#All],[Product ID]:[Product Name]],2,0)</f>
        <v xml:space="preserve">Stainless Steel Axe </v>
      </c>
      <c r="E9">
        <v>3780</v>
      </c>
      <c r="F9">
        <v>72</v>
      </c>
      <c r="G9" t="s">
        <v>26</v>
      </c>
      <c r="H9">
        <v>8</v>
      </c>
      <c r="I9" s="3">
        <v>44569</v>
      </c>
      <c r="J9">
        <f>VLOOKUP(APOCOCO[[#This Row],[Product ID]],STORE[],3,0)</f>
        <v>45.5</v>
      </c>
      <c r="K9">
        <f>APOCOCO[[#This Row],[Units Sold]]*APOCOCO[[#This Row],[SELLING PRICE]]</f>
        <v>3276</v>
      </c>
      <c r="L9">
        <f>VLOOKUP(APOCOCO[[#This Row],[Product ID]],STORE[],4,0)</f>
        <v>32.450000000000003</v>
      </c>
      <c r="M9" s="5">
        <f>APOCOCO[[#This Row],[COST PRICE]]*APOCOCO[[#This Row],[Units Sold]]</f>
        <v>2336.4</v>
      </c>
      <c r="N9" s="5">
        <f>APOCOCO[[#This Row],[TOTAL SALES]]-APOCOCO[[#This Row],[TOTAL COST PRICE]]</f>
        <v>939.59999999999991</v>
      </c>
      <c r="O9" s="5">
        <f>APOCOCO[[#This Row],[TOTAL SALES]]-APOCOCO[[#This Row],[VAT]]</f>
        <v>3030.3</v>
      </c>
      <c r="P9" s="5">
        <f>7.5%*APOCOCO[[#This Row],[TOTAL SALES]]</f>
        <v>245.7</v>
      </c>
      <c r="S9" t="str">
        <f>VLOOKUP(APOCOCO[[#This Row],[Product ID]],STORE[[#All],[Product ID]:[Product Name]],2,0)</f>
        <v xml:space="preserve">Stainless Steel Axe </v>
      </c>
      <c r="T9">
        <f t="shared" si="0"/>
        <v>131</v>
      </c>
    </row>
    <row r="10" spans="1:20" x14ac:dyDescent="0.25">
      <c r="A10">
        <v>9</v>
      </c>
      <c r="B10" t="s">
        <v>17</v>
      </c>
      <c r="C10">
        <v>10001</v>
      </c>
      <c r="D10" t="str">
        <f>VLOOKUP(APOCOCO[[#This Row],[Product ID]],STORE[[#All],[Product ID]:[Product Name]],2,0)</f>
        <v>Nylon Rope</v>
      </c>
      <c r="E10">
        <v>1043</v>
      </c>
      <c r="F10">
        <v>67</v>
      </c>
      <c r="G10" t="s">
        <v>26</v>
      </c>
      <c r="H10">
        <v>9</v>
      </c>
      <c r="I10" s="3">
        <v>44570</v>
      </c>
      <c r="J10">
        <f>VLOOKUP(APOCOCO[[#This Row],[Product ID]],STORE[],3,0)</f>
        <v>30.99</v>
      </c>
      <c r="K10">
        <f>APOCOCO[[#This Row],[Units Sold]]*APOCOCO[[#This Row],[SELLING PRICE]]</f>
        <v>2076.33</v>
      </c>
      <c r="L10">
        <f>VLOOKUP(APOCOCO[[#This Row],[Product ID]],STORE[],4,0)</f>
        <v>13.67</v>
      </c>
      <c r="M10" s="5">
        <f>APOCOCO[[#This Row],[COST PRICE]]*APOCOCO[[#This Row],[Units Sold]]</f>
        <v>915.89</v>
      </c>
      <c r="N10" s="5">
        <f>APOCOCO[[#This Row],[TOTAL SALES]]-APOCOCO[[#This Row],[TOTAL COST PRICE]]</f>
        <v>1160.44</v>
      </c>
      <c r="O10" s="5">
        <f>APOCOCO[[#This Row],[TOTAL SALES]]-APOCOCO[[#This Row],[VAT]]</f>
        <v>1920.6052499999998</v>
      </c>
      <c r="P10" s="5">
        <f>7.5%*APOCOCO[[#This Row],[TOTAL SALES]]</f>
        <v>155.72475</v>
      </c>
      <c r="S10" t="str">
        <f>VLOOKUP(APOCOCO[[#This Row],[Product ID]],STORE[[#All],[Product ID]:[Product Name]],2,0)</f>
        <v>Nylon Rope</v>
      </c>
      <c r="T10">
        <f t="shared" si="0"/>
        <v>67</v>
      </c>
    </row>
    <row r="11" spans="1:20" x14ac:dyDescent="0.25">
      <c r="A11">
        <v>10</v>
      </c>
      <c r="B11" t="s">
        <v>18</v>
      </c>
      <c r="C11">
        <v>10007</v>
      </c>
      <c r="D11" t="str">
        <f>VLOOKUP(APOCOCO[[#This Row],[Product ID]],STORE[[#All],[Product ID]:[Product Name]],2,0)</f>
        <v>Weatherproof Jacket</v>
      </c>
      <c r="E11">
        <v>7075</v>
      </c>
      <c r="F11">
        <v>7</v>
      </c>
      <c r="G11" t="s">
        <v>26</v>
      </c>
      <c r="H11">
        <v>10</v>
      </c>
      <c r="I11" s="3">
        <v>44571</v>
      </c>
      <c r="J11">
        <f>VLOOKUP(APOCOCO[[#This Row],[Product ID]],STORE[],3,0)</f>
        <v>79.989999999999995</v>
      </c>
      <c r="K11">
        <f>APOCOCO[[#This Row],[Units Sold]]*APOCOCO[[#This Row],[SELLING PRICE]]</f>
        <v>559.92999999999995</v>
      </c>
      <c r="L11">
        <f>VLOOKUP(APOCOCO[[#This Row],[Product ID]],STORE[],4,0)</f>
        <v>30.59</v>
      </c>
      <c r="M11" s="5">
        <f>APOCOCO[[#This Row],[COST PRICE]]*APOCOCO[[#This Row],[Units Sold]]</f>
        <v>214.13</v>
      </c>
      <c r="N11" s="5">
        <f>APOCOCO[[#This Row],[TOTAL SALES]]-APOCOCO[[#This Row],[TOTAL COST PRICE]]</f>
        <v>345.79999999999995</v>
      </c>
      <c r="O11" s="5">
        <f>APOCOCO[[#This Row],[TOTAL SALES]]-APOCOCO[[#This Row],[VAT]]</f>
        <v>517.93525</v>
      </c>
      <c r="P11" s="5">
        <f>7.5%*APOCOCO[[#This Row],[TOTAL SALES]]</f>
        <v>41.994749999999996</v>
      </c>
      <c r="S11" t="str">
        <f>VLOOKUP(APOCOCO[[#This Row],[Product ID]],STORE[[#All],[Product ID]:[Product Name]],2,0)</f>
        <v>Weatherproof Jacket</v>
      </c>
      <c r="T11">
        <f t="shared" si="0"/>
        <v>7</v>
      </c>
    </row>
    <row r="12" spans="1:20" x14ac:dyDescent="0.25">
      <c r="A12">
        <v>11</v>
      </c>
      <c r="B12" t="s">
        <v>19</v>
      </c>
      <c r="C12">
        <v>10001</v>
      </c>
      <c r="D12" t="str">
        <f>VLOOKUP(APOCOCO[[#This Row],[Product ID]],STORE[[#All],[Product ID]:[Product Name]],2,0)</f>
        <v>Nylon Rope</v>
      </c>
      <c r="E12">
        <v>6778</v>
      </c>
      <c r="F12">
        <v>23</v>
      </c>
      <c r="G12" t="s">
        <v>26</v>
      </c>
      <c r="H12">
        <v>11</v>
      </c>
      <c r="I12" s="3">
        <v>44572</v>
      </c>
      <c r="J12">
        <f>VLOOKUP(APOCOCO[[#This Row],[Product ID]],STORE[],3,0)</f>
        <v>30.99</v>
      </c>
      <c r="K12">
        <f>APOCOCO[[#This Row],[Units Sold]]*APOCOCO[[#This Row],[SELLING PRICE]]</f>
        <v>712.77</v>
      </c>
      <c r="L12">
        <f>VLOOKUP(APOCOCO[[#This Row],[Product ID]],STORE[],4,0)</f>
        <v>13.67</v>
      </c>
      <c r="M12" s="5">
        <f>APOCOCO[[#This Row],[COST PRICE]]*APOCOCO[[#This Row],[Units Sold]]</f>
        <v>314.41000000000003</v>
      </c>
      <c r="N12" s="5">
        <f>APOCOCO[[#This Row],[TOTAL SALES]]-APOCOCO[[#This Row],[TOTAL COST PRICE]]</f>
        <v>398.35999999999996</v>
      </c>
      <c r="O12" s="5">
        <f>APOCOCO[[#This Row],[TOTAL SALES]]-APOCOCO[[#This Row],[VAT]]</f>
        <v>659.31224999999995</v>
      </c>
      <c r="P12" s="5">
        <f>7.5%*APOCOCO[[#This Row],[TOTAL SALES]]</f>
        <v>53.457749999999997</v>
      </c>
    </row>
    <row r="13" spans="1:20" x14ac:dyDescent="0.25">
      <c r="A13">
        <v>12</v>
      </c>
      <c r="B13" t="s">
        <v>20</v>
      </c>
      <c r="C13">
        <v>10008</v>
      </c>
      <c r="D13" t="str">
        <f>VLOOKUP(APOCOCO[[#This Row],[Product ID]],STORE[[#All],[Product ID]:[Product Name]],2,0)</f>
        <v>Duct Tape</v>
      </c>
      <c r="E13">
        <v>3572</v>
      </c>
      <c r="F13">
        <v>56</v>
      </c>
      <c r="G13" t="s">
        <v>26</v>
      </c>
      <c r="H13">
        <v>12</v>
      </c>
      <c r="I13" s="3">
        <v>44573</v>
      </c>
      <c r="J13">
        <f>VLOOKUP(APOCOCO[[#This Row],[Product ID]],STORE[],3,0)</f>
        <v>6.25</v>
      </c>
      <c r="K13">
        <f>APOCOCO[[#This Row],[Units Sold]]*APOCOCO[[#This Row],[SELLING PRICE]]</f>
        <v>350</v>
      </c>
      <c r="L13">
        <f>VLOOKUP(APOCOCO[[#This Row],[Product ID]],STORE[],4,0)</f>
        <v>4.87</v>
      </c>
      <c r="M13" s="5">
        <f>APOCOCO[[#This Row],[COST PRICE]]*APOCOCO[[#This Row],[Units Sold]]</f>
        <v>272.72000000000003</v>
      </c>
      <c r="N13" s="5">
        <f>APOCOCO[[#This Row],[TOTAL SALES]]-APOCOCO[[#This Row],[TOTAL COST PRICE]]</f>
        <v>77.279999999999973</v>
      </c>
      <c r="O13" s="5">
        <f>APOCOCO[[#This Row],[TOTAL SALES]]-APOCOCO[[#This Row],[VAT]]</f>
        <v>323.75</v>
      </c>
      <c r="P13" s="5">
        <f>7.5%*APOCOCO[[#This Row],[TOTAL SALES]]</f>
        <v>26.25</v>
      </c>
    </row>
    <row r="14" spans="1:20" x14ac:dyDescent="0.25">
      <c r="A14">
        <v>13</v>
      </c>
      <c r="B14" t="s">
        <v>17</v>
      </c>
      <c r="C14">
        <v>10006</v>
      </c>
      <c r="D14" t="str">
        <f>VLOOKUP(APOCOCO[[#This Row],[Product ID]],STORE[[#All],[Product ID]:[Product Name]],2,0)</f>
        <v>Solar Battery Flashlight</v>
      </c>
      <c r="E14">
        <v>4033</v>
      </c>
      <c r="F14">
        <v>51</v>
      </c>
      <c r="G14" t="s">
        <v>26</v>
      </c>
      <c r="H14">
        <v>13</v>
      </c>
      <c r="I14" s="3">
        <v>44574</v>
      </c>
      <c r="J14">
        <f>VLOOKUP(APOCOCO[[#This Row],[Product ID]],STORE[],3,0)</f>
        <v>26.49</v>
      </c>
      <c r="K14">
        <f>APOCOCO[[#This Row],[Units Sold]]*APOCOCO[[#This Row],[SELLING PRICE]]</f>
        <v>1350.99</v>
      </c>
      <c r="L14">
        <f>VLOOKUP(APOCOCO[[#This Row],[Product ID]],STORE[],4,0)</f>
        <v>13.41</v>
      </c>
      <c r="M14" s="5">
        <f>APOCOCO[[#This Row],[COST PRICE]]*APOCOCO[[#This Row],[Units Sold]]</f>
        <v>683.91</v>
      </c>
      <c r="N14" s="5">
        <f>APOCOCO[[#This Row],[TOTAL SALES]]-APOCOCO[[#This Row],[TOTAL COST PRICE]]</f>
        <v>667.08</v>
      </c>
      <c r="O14" s="5">
        <f>APOCOCO[[#This Row],[TOTAL SALES]]-APOCOCO[[#This Row],[VAT]]</f>
        <v>1249.6657500000001</v>
      </c>
      <c r="P14" s="5">
        <f>7.5%*APOCOCO[[#This Row],[TOTAL SALES]]</f>
        <v>101.32424999999999</v>
      </c>
    </row>
    <row r="15" spans="1:20" x14ac:dyDescent="0.25">
      <c r="A15">
        <v>14</v>
      </c>
      <c r="B15" t="s">
        <v>18</v>
      </c>
      <c r="C15">
        <v>10005</v>
      </c>
      <c r="D15" t="str">
        <f>VLOOKUP(APOCOCO[[#This Row],[Product ID]],STORE[[#All],[Product ID]:[Product Name]],2,0)</f>
        <v>Multitool Survivial Knife</v>
      </c>
      <c r="E15">
        <v>2073</v>
      </c>
      <c r="F15">
        <v>2</v>
      </c>
      <c r="G15" t="s">
        <v>26</v>
      </c>
      <c r="H15">
        <v>14</v>
      </c>
      <c r="I15" s="3">
        <v>44575</v>
      </c>
      <c r="J15">
        <f>VLOOKUP(APOCOCO[[#This Row],[Product ID]],STORE[],3,0)</f>
        <v>28.99</v>
      </c>
      <c r="K15">
        <f>APOCOCO[[#This Row],[Units Sold]]*APOCOCO[[#This Row],[SELLING PRICE]]</f>
        <v>57.98</v>
      </c>
      <c r="L15">
        <f>VLOOKUP(APOCOCO[[#This Row],[Product ID]],STORE[],4,0)</f>
        <v>10.58</v>
      </c>
      <c r="M15" s="5">
        <f>APOCOCO[[#This Row],[COST PRICE]]*APOCOCO[[#This Row],[Units Sold]]</f>
        <v>21.16</v>
      </c>
      <c r="N15" s="5">
        <f>APOCOCO[[#This Row],[TOTAL SALES]]-APOCOCO[[#This Row],[TOTAL COST PRICE]]</f>
        <v>36.819999999999993</v>
      </c>
      <c r="O15" s="5">
        <f>APOCOCO[[#This Row],[TOTAL SALES]]-APOCOCO[[#This Row],[VAT]]</f>
        <v>53.631499999999996</v>
      </c>
      <c r="P15" s="5">
        <f>7.5%*APOCOCO[[#This Row],[TOTAL SALES]]</f>
        <v>4.3484999999999996</v>
      </c>
    </row>
    <row r="16" spans="1:20" x14ac:dyDescent="0.25">
      <c r="A16">
        <v>15</v>
      </c>
      <c r="B16" t="s">
        <v>19</v>
      </c>
      <c r="C16">
        <v>10010</v>
      </c>
      <c r="D16" t="str">
        <f>VLOOKUP(APOCOCO[[#This Row],[Product ID]],STORE[[#All],[Product ID]:[Product Name]],2,0)</f>
        <v>N95 Mask</v>
      </c>
      <c r="E16">
        <v>7333</v>
      </c>
      <c r="F16">
        <v>45</v>
      </c>
      <c r="G16" t="s">
        <v>26</v>
      </c>
      <c r="H16">
        <v>15</v>
      </c>
      <c r="I16" s="3">
        <v>44576</v>
      </c>
      <c r="J16">
        <f>VLOOKUP(APOCOCO[[#This Row],[Product ID]],STORE[],3,0)</f>
        <v>2.75</v>
      </c>
      <c r="K16">
        <f>APOCOCO[[#This Row],[Units Sold]]*APOCOCO[[#This Row],[SELLING PRICE]]</f>
        <v>123.75</v>
      </c>
      <c r="L16">
        <f>VLOOKUP(APOCOCO[[#This Row],[Product ID]],STORE[],4,0)</f>
        <v>1.01</v>
      </c>
      <c r="M16" s="5">
        <f>APOCOCO[[#This Row],[COST PRICE]]*APOCOCO[[#This Row],[Units Sold]]</f>
        <v>45.45</v>
      </c>
      <c r="N16" s="5">
        <f>APOCOCO[[#This Row],[TOTAL SALES]]-APOCOCO[[#This Row],[TOTAL COST PRICE]]</f>
        <v>78.3</v>
      </c>
      <c r="O16" s="5">
        <f>APOCOCO[[#This Row],[TOTAL SALES]]-APOCOCO[[#This Row],[VAT]]</f>
        <v>114.46875</v>
      </c>
      <c r="P16" s="5">
        <f>7.5%*APOCOCO[[#This Row],[TOTAL SALES]]</f>
        <v>9.28125</v>
      </c>
    </row>
    <row r="17" spans="1:16" x14ac:dyDescent="0.25">
      <c r="A17">
        <v>16</v>
      </c>
      <c r="B17" t="s">
        <v>20</v>
      </c>
      <c r="C17">
        <v>10005</v>
      </c>
      <c r="D17" t="str">
        <f>VLOOKUP(APOCOCO[[#This Row],[Product ID]],STORE[[#All],[Product ID]:[Product Name]],2,0)</f>
        <v>Multitool Survivial Knife</v>
      </c>
      <c r="E17">
        <v>3352</v>
      </c>
      <c r="F17">
        <v>13</v>
      </c>
      <c r="G17" t="s">
        <v>26</v>
      </c>
      <c r="H17">
        <v>16</v>
      </c>
      <c r="I17" s="3">
        <v>44577</v>
      </c>
      <c r="J17">
        <f>VLOOKUP(APOCOCO[[#This Row],[Product ID]],STORE[],3,0)</f>
        <v>28.99</v>
      </c>
      <c r="K17">
        <f>APOCOCO[[#This Row],[Units Sold]]*APOCOCO[[#This Row],[SELLING PRICE]]</f>
        <v>376.87</v>
      </c>
      <c r="L17">
        <f>VLOOKUP(APOCOCO[[#This Row],[Product ID]],STORE[],4,0)</f>
        <v>10.58</v>
      </c>
      <c r="M17" s="5">
        <f>APOCOCO[[#This Row],[COST PRICE]]*APOCOCO[[#This Row],[Units Sold]]</f>
        <v>137.54</v>
      </c>
      <c r="N17" s="5">
        <f>APOCOCO[[#This Row],[TOTAL SALES]]-APOCOCO[[#This Row],[TOTAL COST PRICE]]</f>
        <v>239.33</v>
      </c>
      <c r="O17" s="5">
        <f>APOCOCO[[#This Row],[TOTAL SALES]]-APOCOCO[[#This Row],[VAT]]</f>
        <v>348.60475000000002</v>
      </c>
      <c r="P17" s="5">
        <f>7.5%*APOCOCO[[#This Row],[TOTAL SALES]]</f>
        <v>28.265249999999998</v>
      </c>
    </row>
    <row r="18" spans="1:16" x14ac:dyDescent="0.25">
      <c r="A18">
        <v>17</v>
      </c>
      <c r="B18" t="s">
        <v>17</v>
      </c>
      <c r="C18">
        <v>10003</v>
      </c>
      <c r="D18" t="str">
        <f>VLOOKUP(APOCOCO[[#This Row],[Product ID]],STORE[[#All],[Product ID]:[Product Name]],2,0)</f>
        <v xml:space="preserve">Stainless Steel Axe </v>
      </c>
      <c r="E18">
        <v>2078</v>
      </c>
      <c r="F18">
        <v>4</v>
      </c>
      <c r="G18" t="s">
        <v>26</v>
      </c>
      <c r="H18">
        <v>17</v>
      </c>
      <c r="I18" s="3">
        <v>44578</v>
      </c>
      <c r="J18">
        <f>VLOOKUP(APOCOCO[[#This Row],[Product ID]],STORE[],3,0)</f>
        <v>45.5</v>
      </c>
      <c r="K18">
        <f>APOCOCO[[#This Row],[Units Sold]]*APOCOCO[[#This Row],[SELLING PRICE]]</f>
        <v>182</v>
      </c>
      <c r="L18">
        <f>VLOOKUP(APOCOCO[[#This Row],[Product ID]],STORE[],4,0)</f>
        <v>32.450000000000003</v>
      </c>
      <c r="M18" s="5">
        <f>APOCOCO[[#This Row],[COST PRICE]]*APOCOCO[[#This Row],[Units Sold]]</f>
        <v>129.80000000000001</v>
      </c>
      <c r="N18" s="5">
        <f>APOCOCO[[#This Row],[TOTAL SALES]]-APOCOCO[[#This Row],[TOTAL COST PRICE]]</f>
        <v>52.199999999999989</v>
      </c>
      <c r="O18" s="5">
        <f>APOCOCO[[#This Row],[TOTAL SALES]]-APOCOCO[[#This Row],[VAT]]</f>
        <v>168.35</v>
      </c>
      <c r="P18" s="5">
        <f>7.5%*APOCOCO[[#This Row],[TOTAL SALES]]</f>
        <v>13.65</v>
      </c>
    </row>
    <row r="19" spans="1:16" x14ac:dyDescent="0.25">
      <c r="A19">
        <v>18</v>
      </c>
      <c r="B19" t="s">
        <v>17</v>
      </c>
      <c r="C19">
        <v>10005</v>
      </c>
      <c r="D19" t="str">
        <f>VLOOKUP(APOCOCO[[#This Row],[Product ID]],STORE[[#All],[Product ID]:[Product Name]],2,0)</f>
        <v>Multitool Survivial Knife</v>
      </c>
      <c r="E19">
        <v>7616</v>
      </c>
      <c r="F19">
        <v>78</v>
      </c>
      <c r="G19" t="s">
        <v>26</v>
      </c>
      <c r="H19">
        <v>18</v>
      </c>
      <c r="I19" s="3">
        <v>44579</v>
      </c>
      <c r="J19">
        <f>VLOOKUP(APOCOCO[[#This Row],[Product ID]],STORE[],3,0)</f>
        <v>28.99</v>
      </c>
      <c r="K19">
        <f>APOCOCO[[#This Row],[Units Sold]]*APOCOCO[[#This Row],[SELLING PRICE]]</f>
        <v>2261.2199999999998</v>
      </c>
      <c r="L19">
        <f>VLOOKUP(APOCOCO[[#This Row],[Product ID]],STORE[],4,0)</f>
        <v>10.58</v>
      </c>
      <c r="M19" s="5">
        <f>APOCOCO[[#This Row],[COST PRICE]]*APOCOCO[[#This Row],[Units Sold]]</f>
        <v>825.24</v>
      </c>
      <c r="N19" s="5">
        <f>APOCOCO[[#This Row],[TOTAL SALES]]-APOCOCO[[#This Row],[TOTAL COST PRICE]]</f>
        <v>1435.9799999999998</v>
      </c>
      <c r="O19" s="5">
        <f>APOCOCO[[#This Row],[TOTAL SALES]]-APOCOCO[[#This Row],[VAT]]</f>
        <v>2091.6284999999998</v>
      </c>
      <c r="P19" s="5">
        <f>7.5%*APOCOCO[[#This Row],[TOTAL SALES]]</f>
        <v>169.59149999999997</v>
      </c>
    </row>
    <row r="20" spans="1:16" x14ac:dyDescent="0.25">
      <c r="A20">
        <v>19</v>
      </c>
      <c r="B20" t="s">
        <v>18</v>
      </c>
      <c r="C20">
        <v>10009</v>
      </c>
      <c r="D20" t="str">
        <f>VLOOKUP(APOCOCO[[#This Row],[Product ID]],STORE[[#All],[Product ID]:[Product Name]],2,0)</f>
        <v>Water Purifier</v>
      </c>
      <c r="E20">
        <v>6762</v>
      </c>
      <c r="F20">
        <v>70</v>
      </c>
      <c r="G20" t="s">
        <v>26</v>
      </c>
      <c r="H20">
        <v>19</v>
      </c>
      <c r="I20" s="3">
        <v>44580</v>
      </c>
      <c r="J20">
        <f>VLOOKUP(APOCOCO[[#This Row],[Product ID]],STORE[],3,0)</f>
        <v>30.25</v>
      </c>
      <c r="K20">
        <f>APOCOCO[[#This Row],[Units Sold]]*APOCOCO[[#This Row],[SELLING PRICE]]</f>
        <v>2117.5</v>
      </c>
      <c r="L20">
        <f>VLOOKUP(APOCOCO[[#This Row],[Product ID]],STORE[],4,0)</f>
        <v>17.93</v>
      </c>
      <c r="M20" s="5">
        <f>APOCOCO[[#This Row],[COST PRICE]]*APOCOCO[[#This Row],[Units Sold]]</f>
        <v>1255.0999999999999</v>
      </c>
      <c r="N20" s="5">
        <f>APOCOCO[[#This Row],[TOTAL SALES]]-APOCOCO[[#This Row],[TOTAL COST PRICE]]</f>
        <v>862.40000000000009</v>
      </c>
      <c r="O20" s="5">
        <f>APOCOCO[[#This Row],[TOTAL SALES]]-APOCOCO[[#This Row],[VAT]]</f>
        <v>1958.6875</v>
      </c>
      <c r="P20" s="5">
        <f>7.5%*APOCOCO[[#This Row],[TOTAL SALES]]</f>
        <v>158.8125</v>
      </c>
    </row>
    <row r="21" spans="1:16" x14ac:dyDescent="0.25">
      <c r="A21">
        <v>20</v>
      </c>
      <c r="B21" t="s">
        <v>19</v>
      </c>
      <c r="C21">
        <v>10005</v>
      </c>
      <c r="D21" t="str">
        <f>VLOOKUP(APOCOCO[[#This Row],[Product ID]],STORE[[#All],[Product ID]:[Product Name]],2,0)</f>
        <v>Multitool Survivial Knife</v>
      </c>
      <c r="E21">
        <v>4556</v>
      </c>
      <c r="F21">
        <v>4</v>
      </c>
      <c r="G21" t="s">
        <v>26</v>
      </c>
      <c r="H21">
        <v>20</v>
      </c>
      <c r="I21" s="3">
        <v>44581</v>
      </c>
      <c r="J21">
        <f>VLOOKUP(APOCOCO[[#This Row],[Product ID]],STORE[],3,0)</f>
        <v>28.99</v>
      </c>
      <c r="K21">
        <f>APOCOCO[[#This Row],[Units Sold]]*APOCOCO[[#This Row],[SELLING PRICE]]</f>
        <v>115.96</v>
      </c>
      <c r="L21">
        <f>VLOOKUP(APOCOCO[[#This Row],[Product ID]],STORE[],4,0)</f>
        <v>10.58</v>
      </c>
      <c r="M21" s="5">
        <f>APOCOCO[[#This Row],[COST PRICE]]*APOCOCO[[#This Row],[Units Sold]]</f>
        <v>42.32</v>
      </c>
      <c r="N21" s="5">
        <f>APOCOCO[[#This Row],[TOTAL SALES]]-APOCOCO[[#This Row],[TOTAL COST PRICE]]</f>
        <v>73.639999999999986</v>
      </c>
      <c r="O21" s="5">
        <f>APOCOCO[[#This Row],[TOTAL SALES]]-APOCOCO[[#This Row],[VAT]]</f>
        <v>107.26299999999999</v>
      </c>
      <c r="P21" s="5">
        <f>7.5%*APOCOCO[[#This Row],[TOTAL SALES]]</f>
        <v>8.6969999999999992</v>
      </c>
    </row>
    <row r="22" spans="1:16" x14ac:dyDescent="0.25">
      <c r="A22">
        <v>21</v>
      </c>
      <c r="B22" t="s">
        <v>20</v>
      </c>
      <c r="C22">
        <v>10008</v>
      </c>
      <c r="D22" t="str">
        <f>VLOOKUP(APOCOCO[[#This Row],[Product ID]],STORE[[#All],[Product ID]:[Product Name]],2,0)</f>
        <v>Duct Tape</v>
      </c>
      <c r="E22">
        <v>2659</v>
      </c>
      <c r="F22">
        <v>73</v>
      </c>
      <c r="G22" t="s">
        <v>26</v>
      </c>
      <c r="H22">
        <v>21</v>
      </c>
      <c r="I22" s="3">
        <v>44582</v>
      </c>
      <c r="J22">
        <f>VLOOKUP(APOCOCO[[#This Row],[Product ID]],STORE[],3,0)</f>
        <v>6.25</v>
      </c>
      <c r="K22">
        <f>APOCOCO[[#This Row],[Units Sold]]*APOCOCO[[#This Row],[SELLING PRICE]]</f>
        <v>456.25</v>
      </c>
      <c r="L22">
        <f>VLOOKUP(APOCOCO[[#This Row],[Product ID]],STORE[],4,0)</f>
        <v>4.87</v>
      </c>
      <c r="M22" s="5">
        <f>APOCOCO[[#This Row],[COST PRICE]]*APOCOCO[[#This Row],[Units Sold]]</f>
        <v>355.51</v>
      </c>
      <c r="N22" s="5">
        <f>APOCOCO[[#This Row],[TOTAL SALES]]-APOCOCO[[#This Row],[TOTAL COST PRICE]]</f>
        <v>100.74000000000001</v>
      </c>
      <c r="O22" s="5">
        <f>APOCOCO[[#This Row],[TOTAL SALES]]-APOCOCO[[#This Row],[VAT]]</f>
        <v>422.03125</v>
      </c>
      <c r="P22" s="5">
        <f>7.5%*APOCOCO[[#This Row],[TOTAL SALES]]</f>
        <v>34.21875</v>
      </c>
    </row>
    <row r="23" spans="1:16" x14ac:dyDescent="0.25">
      <c r="A23">
        <v>22</v>
      </c>
      <c r="B23" t="s">
        <v>17</v>
      </c>
      <c r="C23">
        <v>10005</v>
      </c>
      <c r="D23" t="str">
        <f>VLOOKUP(APOCOCO[[#This Row],[Product ID]],STORE[[#All],[Product ID]:[Product Name]],2,0)</f>
        <v>Multitool Survivial Knife</v>
      </c>
      <c r="E23">
        <v>5020</v>
      </c>
      <c r="F23">
        <v>30</v>
      </c>
      <c r="G23" t="s">
        <v>26</v>
      </c>
      <c r="H23">
        <v>22</v>
      </c>
      <c r="I23" s="3">
        <v>44583</v>
      </c>
      <c r="J23">
        <f>VLOOKUP(APOCOCO[[#This Row],[Product ID]],STORE[],3,0)</f>
        <v>28.99</v>
      </c>
      <c r="K23">
        <f>APOCOCO[[#This Row],[Units Sold]]*APOCOCO[[#This Row],[SELLING PRICE]]</f>
        <v>869.69999999999993</v>
      </c>
      <c r="L23">
        <f>VLOOKUP(APOCOCO[[#This Row],[Product ID]],STORE[],4,0)</f>
        <v>10.58</v>
      </c>
      <c r="M23" s="5">
        <f>APOCOCO[[#This Row],[COST PRICE]]*APOCOCO[[#This Row],[Units Sold]]</f>
        <v>317.39999999999998</v>
      </c>
      <c r="N23" s="5">
        <f>APOCOCO[[#This Row],[TOTAL SALES]]-APOCOCO[[#This Row],[TOTAL COST PRICE]]</f>
        <v>552.29999999999995</v>
      </c>
      <c r="O23" s="5">
        <f>APOCOCO[[#This Row],[TOTAL SALES]]-APOCOCO[[#This Row],[VAT]]</f>
        <v>804.47249999999997</v>
      </c>
      <c r="P23" s="5">
        <f>7.5%*APOCOCO[[#This Row],[TOTAL SALES]]</f>
        <v>65.227499999999992</v>
      </c>
    </row>
    <row r="24" spans="1:16" x14ac:dyDescent="0.25">
      <c r="A24">
        <v>23</v>
      </c>
      <c r="B24" t="s">
        <v>18</v>
      </c>
      <c r="C24">
        <v>10009</v>
      </c>
      <c r="D24" t="str">
        <f>VLOOKUP(APOCOCO[[#This Row],[Product ID]],STORE[[#All],[Product ID]:[Product Name]],2,0)</f>
        <v>Water Purifier</v>
      </c>
      <c r="E24">
        <v>3887</v>
      </c>
      <c r="F24">
        <v>49</v>
      </c>
      <c r="G24" t="s">
        <v>26</v>
      </c>
      <c r="H24">
        <v>23</v>
      </c>
      <c r="I24" s="3">
        <v>44584</v>
      </c>
      <c r="J24">
        <f>VLOOKUP(APOCOCO[[#This Row],[Product ID]],STORE[],3,0)</f>
        <v>30.25</v>
      </c>
      <c r="K24">
        <f>APOCOCO[[#This Row],[Units Sold]]*APOCOCO[[#This Row],[SELLING PRICE]]</f>
        <v>1482.25</v>
      </c>
      <c r="L24">
        <f>VLOOKUP(APOCOCO[[#This Row],[Product ID]],STORE[],4,0)</f>
        <v>17.93</v>
      </c>
      <c r="M24" s="5">
        <f>APOCOCO[[#This Row],[COST PRICE]]*APOCOCO[[#This Row],[Units Sold]]</f>
        <v>878.56999999999994</v>
      </c>
      <c r="N24" s="5">
        <f>APOCOCO[[#This Row],[TOTAL SALES]]-APOCOCO[[#This Row],[TOTAL COST PRICE]]</f>
        <v>603.68000000000006</v>
      </c>
      <c r="O24" s="5">
        <f>APOCOCO[[#This Row],[TOTAL SALES]]-APOCOCO[[#This Row],[VAT]]</f>
        <v>1371.08125</v>
      </c>
      <c r="P24" s="5">
        <f>7.5%*APOCOCO[[#This Row],[TOTAL SALES]]</f>
        <v>111.16875</v>
      </c>
    </row>
    <row r="25" spans="1:16" x14ac:dyDescent="0.25">
      <c r="A25">
        <v>24</v>
      </c>
      <c r="B25" t="s">
        <v>19</v>
      </c>
      <c r="C25">
        <v>10001</v>
      </c>
      <c r="D25" t="str">
        <f>VLOOKUP(APOCOCO[[#This Row],[Product ID]],STORE[[#All],[Product ID]:[Product Name]],2,0)</f>
        <v>Nylon Rope</v>
      </c>
      <c r="E25">
        <v>1341</v>
      </c>
      <c r="F25">
        <v>66</v>
      </c>
      <c r="G25" t="s">
        <v>26</v>
      </c>
      <c r="H25">
        <v>24</v>
      </c>
      <c r="I25" s="3">
        <v>44585</v>
      </c>
      <c r="J25">
        <f>VLOOKUP(APOCOCO[[#This Row],[Product ID]],STORE[],3,0)</f>
        <v>30.99</v>
      </c>
      <c r="K25">
        <f>APOCOCO[[#This Row],[Units Sold]]*APOCOCO[[#This Row],[SELLING PRICE]]</f>
        <v>2045.34</v>
      </c>
      <c r="L25">
        <f>VLOOKUP(APOCOCO[[#This Row],[Product ID]],STORE[],4,0)</f>
        <v>13.67</v>
      </c>
      <c r="M25" s="5">
        <f>APOCOCO[[#This Row],[COST PRICE]]*APOCOCO[[#This Row],[Units Sold]]</f>
        <v>902.22</v>
      </c>
      <c r="N25" s="5">
        <f>APOCOCO[[#This Row],[TOTAL SALES]]-APOCOCO[[#This Row],[TOTAL COST PRICE]]</f>
        <v>1143.1199999999999</v>
      </c>
      <c r="O25" s="5">
        <f>APOCOCO[[#This Row],[TOTAL SALES]]-APOCOCO[[#This Row],[VAT]]</f>
        <v>1891.9395</v>
      </c>
      <c r="P25" s="5">
        <f>7.5%*APOCOCO[[#This Row],[TOTAL SALES]]</f>
        <v>153.40049999999999</v>
      </c>
    </row>
    <row r="26" spans="1:16" x14ac:dyDescent="0.25">
      <c r="A26">
        <v>25</v>
      </c>
      <c r="B26" t="s">
        <v>20</v>
      </c>
      <c r="C26">
        <v>10006</v>
      </c>
      <c r="D26" t="str">
        <f>VLOOKUP(APOCOCO[[#This Row],[Product ID]],STORE[[#All],[Product ID]:[Product Name]],2,0)</f>
        <v>Solar Battery Flashlight</v>
      </c>
      <c r="E26">
        <v>8459</v>
      </c>
      <c r="F26">
        <v>4</v>
      </c>
      <c r="G26" t="s">
        <v>26</v>
      </c>
      <c r="H26">
        <v>25</v>
      </c>
      <c r="I26" s="3">
        <v>44586</v>
      </c>
      <c r="J26">
        <f>VLOOKUP(APOCOCO[[#This Row],[Product ID]],STORE[],3,0)</f>
        <v>26.49</v>
      </c>
      <c r="K26">
        <f>APOCOCO[[#This Row],[Units Sold]]*APOCOCO[[#This Row],[SELLING PRICE]]</f>
        <v>105.96</v>
      </c>
      <c r="L26">
        <f>VLOOKUP(APOCOCO[[#This Row],[Product ID]],STORE[],4,0)</f>
        <v>13.41</v>
      </c>
      <c r="M26" s="5">
        <f>APOCOCO[[#This Row],[COST PRICE]]*APOCOCO[[#This Row],[Units Sold]]</f>
        <v>53.64</v>
      </c>
      <c r="N26" s="5">
        <f>APOCOCO[[#This Row],[TOTAL SALES]]-APOCOCO[[#This Row],[TOTAL COST PRICE]]</f>
        <v>52.319999999999993</v>
      </c>
      <c r="O26" s="5">
        <f>APOCOCO[[#This Row],[TOTAL SALES]]-APOCOCO[[#This Row],[VAT]]</f>
        <v>98.012999999999991</v>
      </c>
      <c r="P26" s="5">
        <f>7.5%*APOCOCO[[#This Row],[TOTAL SALES]]</f>
        <v>7.9469999999999992</v>
      </c>
    </row>
    <row r="27" spans="1:16" x14ac:dyDescent="0.25">
      <c r="A27">
        <v>26</v>
      </c>
      <c r="B27" t="s">
        <v>17</v>
      </c>
      <c r="C27">
        <v>10001</v>
      </c>
      <c r="D27" t="str">
        <f>VLOOKUP(APOCOCO[[#This Row],[Product ID]],STORE[[#All],[Product ID]:[Product Name]],2,0)</f>
        <v>Nylon Rope</v>
      </c>
      <c r="E27">
        <v>7175</v>
      </c>
      <c r="F27">
        <v>5</v>
      </c>
      <c r="G27" t="s">
        <v>26</v>
      </c>
      <c r="H27">
        <v>26</v>
      </c>
      <c r="I27" s="3">
        <v>44587</v>
      </c>
      <c r="J27">
        <f>VLOOKUP(APOCOCO[[#This Row],[Product ID]],STORE[],3,0)</f>
        <v>30.99</v>
      </c>
      <c r="K27">
        <f>APOCOCO[[#This Row],[Units Sold]]*APOCOCO[[#This Row],[SELLING PRICE]]</f>
        <v>154.94999999999999</v>
      </c>
      <c r="L27">
        <f>VLOOKUP(APOCOCO[[#This Row],[Product ID]],STORE[],4,0)</f>
        <v>13.67</v>
      </c>
      <c r="M27" s="5">
        <f>APOCOCO[[#This Row],[COST PRICE]]*APOCOCO[[#This Row],[Units Sold]]</f>
        <v>68.349999999999994</v>
      </c>
      <c r="N27" s="5">
        <f>APOCOCO[[#This Row],[TOTAL SALES]]-APOCOCO[[#This Row],[TOTAL COST PRICE]]</f>
        <v>86.6</v>
      </c>
      <c r="O27" s="5">
        <f>APOCOCO[[#This Row],[TOTAL SALES]]-APOCOCO[[#This Row],[VAT]]</f>
        <v>143.32874999999999</v>
      </c>
      <c r="P27" s="5">
        <f>7.5%*APOCOCO[[#This Row],[TOTAL SALES]]</f>
        <v>11.621249999999998</v>
      </c>
    </row>
    <row r="28" spans="1:16" x14ac:dyDescent="0.25">
      <c r="A28">
        <v>27</v>
      </c>
      <c r="B28" t="s">
        <v>18</v>
      </c>
      <c r="C28">
        <v>10009</v>
      </c>
      <c r="D28" t="str">
        <f>VLOOKUP(APOCOCO[[#This Row],[Product ID]],STORE[[#All],[Product ID]:[Product Name]],2,0)</f>
        <v>Water Purifier</v>
      </c>
      <c r="E28">
        <v>4267</v>
      </c>
      <c r="F28">
        <v>71</v>
      </c>
      <c r="G28" t="s">
        <v>26</v>
      </c>
      <c r="H28">
        <v>27</v>
      </c>
      <c r="I28" s="3">
        <v>44588</v>
      </c>
      <c r="J28">
        <f>VLOOKUP(APOCOCO[[#This Row],[Product ID]],STORE[],3,0)</f>
        <v>30.25</v>
      </c>
      <c r="K28">
        <f>APOCOCO[[#This Row],[Units Sold]]*APOCOCO[[#This Row],[SELLING PRICE]]</f>
        <v>2147.75</v>
      </c>
      <c r="L28">
        <f>VLOOKUP(APOCOCO[[#This Row],[Product ID]],STORE[],4,0)</f>
        <v>17.93</v>
      </c>
      <c r="M28" s="5">
        <f>APOCOCO[[#This Row],[COST PRICE]]*APOCOCO[[#This Row],[Units Sold]]</f>
        <v>1273.03</v>
      </c>
      <c r="N28" s="5">
        <f>APOCOCO[[#This Row],[TOTAL SALES]]-APOCOCO[[#This Row],[TOTAL COST PRICE]]</f>
        <v>874.72</v>
      </c>
      <c r="O28" s="5">
        <f>APOCOCO[[#This Row],[TOTAL SALES]]-APOCOCO[[#This Row],[VAT]]</f>
        <v>1986.66875</v>
      </c>
      <c r="P28" s="5">
        <f>7.5%*APOCOCO[[#This Row],[TOTAL SALES]]</f>
        <v>161.08124999999998</v>
      </c>
    </row>
    <row r="29" spans="1:16" x14ac:dyDescent="0.25">
      <c r="A29">
        <v>28</v>
      </c>
      <c r="B29" t="s">
        <v>19</v>
      </c>
      <c r="C29">
        <v>10007</v>
      </c>
      <c r="D29" t="str">
        <f>VLOOKUP(APOCOCO[[#This Row],[Product ID]],STORE[[#All],[Product ID]:[Product Name]],2,0)</f>
        <v>Weatherproof Jacket</v>
      </c>
      <c r="E29">
        <v>1157</v>
      </c>
      <c r="F29">
        <v>57</v>
      </c>
      <c r="G29" t="s">
        <v>26</v>
      </c>
      <c r="H29">
        <v>28</v>
      </c>
      <c r="I29" s="3">
        <v>44589</v>
      </c>
      <c r="J29">
        <f>VLOOKUP(APOCOCO[[#This Row],[Product ID]],STORE[],3,0)</f>
        <v>79.989999999999995</v>
      </c>
      <c r="K29">
        <f>APOCOCO[[#This Row],[Units Sold]]*APOCOCO[[#This Row],[SELLING PRICE]]</f>
        <v>4559.4299999999994</v>
      </c>
      <c r="L29">
        <f>VLOOKUP(APOCOCO[[#This Row],[Product ID]],STORE[],4,0)</f>
        <v>30.59</v>
      </c>
      <c r="M29" s="5">
        <f>APOCOCO[[#This Row],[COST PRICE]]*APOCOCO[[#This Row],[Units Sold]]</f>
        <v>1743.6299999999999</v>
      </c>
      <c r="N29" s="5">
        <f>APOCOCO[[#This Row],[TOTAL SALES]]-APOCOCO[[#This Row],[TOTAL COST PRICE]]</f>
        <v>2815.7999999999993</v>
      </c>
      <c r="O29" s="5">
        <f>APOCOCO[[#This Row],[TOTAL SALES]]-APOCOCO[[#This Row],[VAT]]</f>
        <v>4217.472749999999</v>
      </c>
      <c r="P29" s="5">
        <f>7.5%*APOCOCO[[#This Row],[TOTAL SALES]]</f>
        <v>341.95724999999993</v>
      </c>
    </row>
    <row r="30" spans="1:16" x14ac:dyDescent="0.25">
      <c r="A30">
        <v>29</v>
      </c>
      <c r="B30" t="s">
        <v>20</v>
      </c>
      <c r="C30">
        <v>10008</v>
      </c>
      <c r="D30" t="str">
        <f>VLOOKUP(APOCOCO[[#This Row],[Product ID]],STORE[[#All],[Product ID]:[Product Name]],2,0)</f>
        <v>Duct Tape</v>
      </c>
      <c r="E30">
        <v>1753</v>
      </c>
      <c r="F30">
        <v>9</v>
      </c>
      <c r="G30" t="s">
        <v>26</v>
      </c>
      <c r="H30">
        <v>29</v>
      </c>
      <c r="I30" s="3">
        <v>44590</v>
      </c>
      <c r="J30">
        <f>VLOOKUP(APOCOCO[[#This Row],[Product ID]],STORE[],3,0)</f>
        <v>6.25</v>
      </c>
      <c r="K30">
        <f>APOCOCO[[#This Row],[Units Sold]]*APOCOCO[[#This Row],[SELLING PRICE]]</f>
        <v>56.25</v>
      </c>
      <c r="L30">
        <f>VLOOKUP(APOCOCO[[#This Row],[Product ID]],STORE[],4,0)</f>
        <v>4.87</v>
      </c>
      <c r="M30" s="5">
        <f>APOCOCO[[#This Row],[COST PRICE]]*APOCOCO[[#This Row],[Units Sold]]</f>
        <v>43.83</v>
      </c>
      <c r="N30" s="5">
        <f>APOCOCO[[#This Row],[TOTAL SALES]]-APOCOCO[[#This Row],[TOTAL COST PRICE]]</f>
        <v>12.420000000000002</v>
      </c>
      <c r="O30" s="5">
        <f>APOCOCO[[#This Row],[TOTAL SALES]]-APOCOCO[[#This Row],[VAT]]</f>
        <v>52.03125</v>
      </c>
      <c r="P30" s="5">
        <f>7.5%*APOCOCO[[#This Row],[TOTAL SALES]]</f>
        <v>4.21875</v>
      </c>
    </row>
    <row r="31" spans="1:16" x14ac:dyDescent="0.25">
      <c r="A31">
        <v>30</v>
      </c>
      <c r="B31" t="s">
        <v>17</v>
      </c>
      <c r="C31">
        <v>10006</v>
      </c>
      <c r="D31" t="str">
        <f>VLOOKUP(APOCOCO[[#This Row],[Product ID]],STORE[[#All],[Product ID]:[Product Name]],2,0)</f>
        <v>Solar Battery Flashlight</v>
      </c>
      <c r="E31">
        <v>1913</v>
      </c>
      <c r="F31">
        <v>16</v>
      </c>
      <c r="G31" t="s">
        <v>26</v>
      </c>
      <c r="H31">
        <v>30</v>
      </c>
      <c r="I31" s="3">
        <v>44591</v>
      </c>
      <c r="J31">
        <f>VLOOKUP(APOCOCO[[#This Row],[Product ID]],STORE[],3,0)</f>
        <v>26.49</v>
      </c>
      <c r="K31">
        <f>APOCOCO[[#This Row],[Units Sold]]*APOCOCO[[#This Row],[SELLING PRICE]]</f>
        <v>423.84</v>
      </c>
      <c r="L31">
        <f>VLOOKUP(APOCOCO[[#This Row],[Product ID]],STORE[],4,0)</f>
        <v>13.41</v>
      </c>
      <c r="M31" s="5">
        <f>APOCOCO[[#This Row],[COST PRICE]]*APOCOCO[[#This Row],[Units Sold]]</f>
        <v>214.56</v>
      </c>
      <c r="N31" s="5">
        <f>APOCOCO[[#This Row],[TOTAL SALES]]-APOCOCO[[#This Row],[TOTAL COST PRICE]]</f>
        <v>209.27999999999997</v>
      </c>
      <c r="O31" s="5">
        <f>APOCOCO[[#This Row],[TOTAL SALES]]-APOCOCO[[#This Row],[VAT]]</f>
        <v>392.05199999999996</v>
      </c>
      <c r="P31" s="5">
        <f>7.5%*APOCOCO[[#This Row],[TOTAL SALES]]</f>
        <v>31.787999999999997</v>
      </c>
    </row>
    <row r="32" spans="1:16" x14ac:dyDescent="0.25">
      <c r="A32">
        <v>31</v>
      </c>
      <c r="B32" t="s">
        <v>17</v>
      </c>
      <c r="C32">
        <v>10007</v>
      </c>
      <c r="D32" t="str">
        <f>VLOOKUP(APOCOCO[[#This Row],[Product ID]],STORE[[#All],[Product ID]:[Product Name]],2,0)</f>
        <v>Weatherproof Jacket</v>
      </c>
      <c r="E32">
        <v>4133</v>
      </c>
      <c r="F32">
        <v>46</v>
      </c>
      <c r="G32" t="s">
        <v>26</v>
      </c>
      <c r="H32">
        <v>31</v>
      </c>
      <c r="I32" s="3">
        <v>44592</v>
      </c>
      <c r="J32">
        <f>VLOOKUP(APOCOCO[[#This Row],[Product ID]],STORE[],3,0)</f>
        <v>79.989999999999995</v>
      </c>
      <c r="K32">
        <f>APOCOCO[[#This Row],[Units Sold]]*APOCOCO[[#This Row],[SELLING PRICE]]</f>
        <v>3679.54</v>
      </c>
      <c r="L32">
        <f>VLOOKUP(APOCOCO[[#This Row],[Product ID]],STORE[],4,0)</f>
        <v>30.59</v>
      </c>
      <c r="M32" s="5">
        <f>APOCOCO[[#This Row],[COST PRICE]]*APOCOCO[[#This Row],[Units Sold]]</f>
        <v>1407.14</v>
      </c>
      <c r="N32" s="5">
        <f>APOCOCO[[#This Row],[TOTAL SALES]]-APOCOCO[[#This Row],[TOTAL COST PRICE]]</f>
        <v>2272.3999999999996</v>
      </c>
      <c r="O32" s="5">
        <f>APOCOCO[[#This Row],[TOTAL SALES]]-APOCOCO[[#This Row],[VAT]]</f>
        <v>3403.5745000000002</v>
      </c>
      <c r="P32" s="5">
        <f>7.5%*APOCOCO[[#This Row],[TOTAL SALES]]</f>
        <v>275.96549999999996</v>
      </c>
    </row>
    <row r="33" spans="1:16" x14ac:dyDescent="0.25">
      <c r="A33">
        <v>32</v>
      </c>
      <c r="B33" t="s">
        <v>17</v>
      </c>
      <c r="C33">
        <v>10007</v>
      </c>
      <c r="D33" t="str">
        <f>VLOOKUP(APOCOCO[[#This Row],[Product ID]],STORE[[#All],[Product ID]:[Product Name]],2,0)</f>
        <v>Weatherproof Jacket</v>
      </c>
      <c r="E33">
        <v>9562</v>
      </c>
      <c r="F33">
        <v>50</v>
      </c>
      <c r="G33" t="s">
        <v>27</v>
      </c>
      <c r="H33">
        <v>32</v>
      </c>
      <c r="I33" s="3">
        <v>44593</v>
      </c>
      <c r="J33">
        <f>VLOOKUP(APOCOCO[[#This Row],[Product ID]],STORE[],3,0)</f>
        <v>79.989999999999995</v>
      </c>
      <c r="K33">
        <f>APOCOCO[[#This Row],[Units Sold]]*APOCOCO[[#This Row],[SELLING PRICE]]</f>
        <v>3999.4999999999995</v>
      </c>
      <c r="L33">
        <f>VLOOKUP(APOCOCO[[#This Row],[Product ID]],STORE[],4,0)</f>
        <v>30.59</v>
      </c>
      <c r="M33" s="5">
        <f>APOCOCO[[#This Row],[COST PRICE]]*APOCOCO[[#This Row],[Units Sold]]</f>
        <v>1529.5</v>
      </c>
      <c r="N33" s="5">
        <f>APOCOCO[[#This Row],[TOTAL SALES]]-APOCOCO[[#This Row],[TOTAL COST PRICE]]</f>
        <v>2469.9999999999995</v>
      </c>
      <c r="O33" s="5">
        <f>APOCOCO[[#This Row],[TOTAL SALES]]-APOCOCO[[#This Row],[VAT]]</f>
        <v>3699.5374999999995</v>
      </c>
      <c r="P33" s="5">
        <f>7.5%*APOCOCO[[#This Row],[TOTAL SALES]]</f>
        <v>299.96249999999998</v>
      </c>
    </row>
    <row r="34" spans="1:16" x14ac:dyDescent="0.25">
      <c r="A34">
        <v>33</v>
      </c>
      <c r="B34" t="s">
        <v>18</v>
      </c>
      <c r="C34">
        <v>10008</v>
      </c>
      <c r="D34" t="str">
        <f>VLOOKUP(APOCOCO[[#This Row],[Product ID]],STORE[[#All],[Product ID]:[Product Name]],2,0)</f>
        <v>Duct Tape</v>
      </c>
      <c r="E34">
        <v>3075</v>
      </c>
      <c r="F34">
        <v>11</v>
      </c>
      <c r="G34" t="s">
        <v>27</v>
      </c>
      <c r="H34">
        <v>33</v>
      </c>
      <c r="I34" s="3">
        <v>44594</v>
      </c>
      <c r="J34">
        <f>VLOOKUP(APOCOCO[[#This Row],[Product ID]],STORE[],3,0)</f>
        <v>6.25</v>
      </c>
      <c r="K34">
        <f>APOCOCO[[#This Row],[Units Sold]]*APOCOCO[[#This Row],[SELLING PRICE]]</f>
        <v>68.75</v>
      </c>
      <c r="L34">
        <f>VLOOKUP(APOCOCO[[#This Row],[Product ID]],STORE[],4,0)</f>
        <v>4.87</v>
      </c>
      <c r="M34" s="5">
        <f>APOCOCO[[#This Row],[COST PRICE]]*APOCOCO[[#This Row],[Units Sold]]</f>
        <v>53.57</v>
      </c>
      <c r="N34" s="5">
        <f>APOCOCO[[#This Row],[TOTAL SALES]]-APOCOCO[[#This Row],[TOTAL COST PRICE]]</f>
        <v>15.18</v>
      </c>
      <c r="O34" s="5">
        <f>APOCOCO[[#This Row],[TOTAL SALES]]-APOCOCO[[#This Row],[VAT]]</f>
        <v>63.59375</v>
      </c>
      <c r="P34" s="5">
        <f>7.5%*APOCOCO[[#This Row],[TOTAL SALES]]</f>
        <v>5.15625</v>
      </c>
    </row>
    <row r="35" spans="1:16" x14ac:dyDescent="0.25">
      <c r="A35">
        <v>34</v>
      </c>
      <c r="B35" t="s">
        <v>19</v>
      </c>
      <c r="C35">
        <v>10003</v>
      </c>
      <c r="D35" t="str">
        <f>VLOOKUP(APOCOCO[[#This Row],[Product ID]],STORE[[#All],[Product ID]:[Product Name]],2,0)</f>
        <v xml:space="preserve">Stainless Steel Axe </v>
      </c>
      <c r="E35">
        <v>7854</v>
      </c>
      <c r="F35">
        <v>66</v>
      </c>
      <c r="G35" t="s">
        <v>27</v>
      </c>
      <c r="H35">
        <v>34</v>
      </c>
      <c r="I35" s="3">
        <v>44595</v>
      </c>
      <c r="J35">
        <f>VLOOKUP(APOCOCO[[#This Row],[Product ID]],STORE[],3,0)</f>
        <v>45.5</v>
      </c>
      <c r="K35">
        <f>APOCOCO[[#This Row],[Units Sold]]*APOCOCO[[#This Row],[SELLING PRICE]]</f>
        <v>3003</v>
      </c>
      <c r="L35">
        <f>VLOOKUP(APOCOCO[[#This Row],[Product ID]],STORE[],4,0)</f>
        <v>32.450000000000003</v>
      </c>
      <c r="M35" s="5">
        <f>APOCOCO[[#This Row],[COST PRICE]]*APOCOCO[[#This Row],[Units Sold]]</f>
        <v>2141.7000000000003</v>
      </c>
      <c r="N35" s="5">
        <f>APOCOCO[[#This Row],[TOTAL SALES]]-APOCOCO[[#This Row],[TOTAL COST PRICE]]</f>
        <v>861.29999999999973</v>
      </c>
      <c r="O35" s="5">
        <f>APOCOCO[[#This Row],[TOTAL SALES]]-APOCOCO[[#This Row],[VAT]]</f>
        <v>2777.7750000000001</v>
      </c>
      <c r="P35" s="5">
        <f>7.5%*APOCOCO[[#This Row],[TOTAL SALES]]</f>
        <v>225.22499999999999</v>
      </c>
    </row>
    <row r="36" spans="1:16" x14ac:dyDescent="0.25">
      <c r="A36">
        <v>35</v>
      </c>
      <c r="B36" t="s">
        <v>20</v>
      </c>
      <c r="C36">
        <v>10005</v>
      </c>
      <c r="D36" t="str">
        <f>VLOOKUP(APOCOCO[[#This Row],[Product ID]],STORE[[#All],[Product ID]:[Product Name]],2,0)</f>
        <v>Multitool Survivial Knife</v>
      </c>
      <c r="E36">
        <v>9057</v>
      </c>
      <c r="F36">
        <v>55</v>
      </c>
      <c r="G36" t="s">
        <v>27</v>
      </c>
      <c r="H36">
        <v>35</v>
      </c>
      <c r="I36" s="3">
        <v>44596</v>
      </c>
      <c r="J36">
        <f>VLOOKUP(APOCOCO[[#This Row],[Product ID]],STORE[],3,0)</f>
        <v>28.99</v>
      </c>
      <c r="K36">
        <f>APOCOCO[[#This Row],[Units Sold]]*APOCOCO[[#This Row],[SELLING PRICE]]</f>
        <v>1594.4499999999998</v>
      </c>
      <c r="L36">
        <f>VLOOKUP(APOCOCO[[#This Row],[Product ID]],STORE[],4,0)</f>
        <v>10.58</v>
      </c>
      <c r="M36" s="5">
        <f>APOCOCO[[#This Row],[COST PRICE]]*APOCOCO[[#This Row],[Units Sold]]</f>
        <v>581.9</v>
      </c>
      <c r="N36" s="5">
        <f>APOCOCO[[#This Row],[TOTAL SALES]]-APOCOCO[[#This Row],[TOTAL COST PRICE]]</f>
        <v>1012.5499999999998</v>
      </c>
      <c r="O36" s="5">
        <f>APOCOCO[[#This Row],[TOTAL SALES]]-APOCOCO[[#This Row],[VAT]]</f>
        <v>1474.8662499999998</v>
      </c>
      <c r="P36" s="5">
        <f>7.5%*APOCOCO[[#This Row],[TOTAL SALES]]</f>
        <v>119.58374999999998</v>
      </c>
    </row>
    <row r="37" spans="1:16" x14ac:dyDescent="0.25">
      <c r="A37">
        <v>36</v>
      </c>
      <c r="B37" t="s">
        <v>17</v>
      </c>
      <c r="C37">
        <v>10002</v>
      </c>
      <c r="D37" t="str">
        <f>VLOOKUP(APOCOCO[[#This Row],[Product ID]],STORE[[#All],[Product ID]:[Product Name]],2,0)</f>
        <v>Waterproof Matches</v>
      </c>
      <c r="E37">
        <v>5779</v>
      </c>
      <c r="F37">
        <v>32</v>
      </c>
      <c r="G37" t="s">
        <v>27</v>
      </c>
      <c r="H37">
        <v>36</v>
      </c>
      <c r="I37" s="3">
        <v>44597</v>
      </c>
      <c r="J37">
        <f>VLOOKUP(APOCOCO[[#This Row],[Product ID]],STORE[],3,0)</f>
        <v>7.99</v>
      </c>
      <c r="K37">
        <f>APOCOCO[[#This Row],[Units Sold]]*APOCOCO[[#This Row],[SELLING PRICE]]</f>
        <v>255.68</v>
      </c>
      <c r="L37">
        <f>VLOOKUP(APOCOCO[[#This Row],[Product ID]],STORE[],4,0)</f>
        <v>2.89</v>
      </c>
      <c r="M37" s="5">
        <f>APOCOCO[[#This Row],[COST PRICE]]*APOCOCO[[#This Row],[Units Sold]]</f>
        <v>92.48</v>
      </c>
      <c r="N37" s="5">
        <f>APOCOCO[[#This Row],[TOTAL SALES]]-APOCOCO[[#This Row],[TOTAL COST PRICE]]</f>
        <v>163.19999999999999</v>
      </c>
      <c r="O37" s="5">
        <f>APOCOCO[[#This Row],[TOTAL SALES]]-APOCOCO[[#This Row],[VAT]]</f>
        <v>236.50400000000002</v>
      </c>
      <c r="P37" s="5">
        <f>7.5%*APOCOCO[[#This Row],[TOTAL SALES]]</f>
        <v>19.175999999999998</v>
      </c>
    </row>
    <row r="38" spans="1:16" x14ac:dyDescent="0.25">
      <c r="A38">
        <v>37</v>
      </c>
      <c r="B38" t="s">
        <v>18</v>
      </c>
      <c r="C38">
        <v>10001</v>
      </c>
      <c r="D38" t="str">
        <f>VLOOKUP(APOCOCO[[#This Row],[Product ID]],STORE[[#All],[Product ID]:[Product Name]],2,0)</f>
        <v>Nylon Rope</v>
      </c>
      <c r="E38">
        <v>3587</v>
      </c>
      <c r="F38">
        <v>48</v>
      </c>
      <c r="G38" t="s">
        <v>27</v>
      </c>
      <c r="H38">
        <v>37</v>
      </c>
      <c r="I38" s="3">
        <v>44598</v>
      </c>
      <c r="J38">
        <f>VLOOKUP(APOCOCO[[#This Row],[Product ID]],STORE[],3,0)</f>
        <v>30.99</v>
      </c>
      <c r="K38">
        <f>APOCOCO[[#This Row],[Units Sold]]*APOCOCO[[#This Row],[SELLING PRICE]]</f>
        <v>1487.52</v>
      </c>
      <c r="L38">
        <f>VLOOKUP(APOCOCO[[#This Row],[Product ID]],STORE[],4,0)</f>
        <v>13.67</v>
      </c>
      <c r="M38" s="5">
        <f>APOCOCO[[#This Row],[COST PRICE]]*APOCOCO[[#This Row],[Units Sold]]</f>
        <v>656.16</v>
      </c>
      <c r="N38" s="5">
        <f>APOCOCO[[#This Row],[TOTAL SALES]]-APOCOCO[[#This Row],[TOTAL COST PRICE]]</f>
        <v>831.36</v>
      </c>
      <c r="O38" s="5">
        <f>APOCOCO[[#This Row],[TOTAL SALES]]-APOCOCO[[#This Row],[VAT]]</f>
        <v>1375.9559999999999</v>
      </c>
      <c r="P38" s="5">
        <f>7.5%*APOCOCO[[#This Row],[TOTAL SALES]]</f>
        <v>111.56399999999999</v>
      </c>
    </row>
    <row r="39" spans="1:16" x14ac:dyDescent="0.25">
      <c r="A39">
        <v>38</v>
      </c>
      <c r="B39" t="s">
        <v>19</v>
      </c>
      <c r="C39">
        <v>10007</v>
      </c>
      <c r="D39" t="str">
        <f>VLOOKUP(APOCOCO[[#This Row],[Product ID]],STORE[[#All],[Product ID]:[Product Name]],2,0)</f>
        <v>Weatherproof Jacket</v>
      </c>
      <c r="E39">
        <v>3718</v>
      </c>
      <c r="F39">
        <v>58</v>
      </c>
      <c r="G39" t="s">
        <v>27</v>
      </c>
      <c r="H39">
        <v>38</v>
      </c>
      <c r="I39" s="3">
        <v>44599</v>
      </c>
      <c r="J39">
        <f>VLOOKUP(APOCOCO[[#This Row],[Product ID]],STORE[],3,0)</f>
        <v>79.989999999999995</v>
      </c>
      <c r="K39">
        <f>APOCOCO[[#This Row],[Units Sold]]*APOCOCO[[#This Row],[SELLING PRICE]]</f>
        <v>4639.42</v>
      </c>
      <c r="L39">
        <f>VLOOKUP(APOCOCO[[#This Row],[Product ID]],STORE[],4,0)</f>
        <v>30.59</v>
      </c>
      <c r="M39" s="5">
        <f>APOCOCO[[#This Row],[COST PRICE]]*APOCOCO[[#This Row],[Units Sold]]</f>
        <v>1774.22</v>
      </c>
      <c r="N39" s="5">
        <f>APOCOCO[[#This Row],[TOTAL SALES]]-APOCOCO[[#This Row],[TOTAL COST PRICE]]</f>
        <v>2865.2</v>
      </c>
      <c r="O39" s="5">
        <f>APOCOCO[[#This Row],[TOTAL SALES]]-APOCOCO[[#This Row],[VAT]]</f>
        <v>4291.4634999999998</v>
      </c>
      <c r="P39" s="5">
        <f>7.5%*APOCOCO[[#This Row],[TOTAL SALES]]</f>
        <v>347.95650000000001</v>
      </c>
    </row>
    <row r="40" spans="1:16" x14ac:dyDescent="0.25">
      <c r="A40">
        <v>39</v>
      </c>
      <c r="B40" t="s">
        <v>20</v>
      </c>
      <c r="C40">
        <v>10005</v>
      </c>
      <c r="D40" t="str">
        <f>VLOOKUP(APOCOCO[[#This Row],[Product ID]],STORE[[#All],[Product ID]:[Product Name]],2,0)</f>
        <v>Multitool Survivial Knife</v>
      </c>
      <c r="E40">
        <v>1875</v>
      </c>
      <c r="F40">
        <v>19</v>
      </c>
      <c r="G40" t="s">
        <v>27</v>
      </c>
      <c r="H40">
        <v>39</v>
      </c>
      <c r="I40" s="3">
        <v>44600</v>
      </c>
      <c r="J40">
        <f>VLOOKUP(APOCOCO[[#This Row],[Product ID]],STORE[],3,0)</f>
        <v>28.99</v>
      </c>
      <c r="K40">
        <f>APOCOCO[[#This Row],[Units Sold]]*APOCOCO[[#This Row],[SELLING PRICE]]</f>
        <v>550.80999999999995</v>
      </c>
      <c r="L40">
        <f>VLOOKUP(APOCOCO[[#This Row],[Product ID]],STORE[],4,0)</f>
        <v>10.58</v>
      </c>
      <c r="M40" s="5">
        <f>APOCOCO[[#This Row],[COST PRICE]]*APOCOCO[[#This Row],[Units Sold]]</f>
        <v>201.02</v>
      </c>
      <c r="N40" s="5">
        <f>APOCOCO[[#This Row],[TOTAL SALES]]-APOCOCO[[#This Row],[TOTAL COST PRICE]]</f>
        <v>349.78999999999996</v>
      </c>
      <c r="O40" s="5">
        <f>APOCOCO[[#This Row],[TOTAL SALES]]-APOCOCO[[#This Row],[VAT]]</f>
        <v>509.49924999999996</v>
      </c>
      <c r="P40" s="5">
        <f>7.5%*APOCOCO[[#This Row],[TOTAL SALES]]</f>
        <v>41.310749999999992</v>
      </c>
    </row>
    <row r="41" spans="1:16" x14ac:dyDescent="0.25">
      <c r="A41">
        <v>40</v>
      </c>
      <c r="B41" t="s">
        <v>17</v>
      </c>
      <c r="C41">
        <v>10005</v>
      </c>
      <c r="D41" t="str">
        <f>VLOOKUP(APOCOCO[[#This Row],[Product ID]],STORE[[#All],[Product ID]:[Product Name]],2,0)</f>
        <v>Multitool Survivial Knife</v>
      </c>
      <c r="E41">
        <v>8526</v>
      </c>
      <c r="F41">
        <v>54</v>
      </c>
      <c r="G41" t="s">
        <v>27</v>
      </c>
      <c r="H41">
        <v>40</v>
      </c>
      <c r="I41" s="3">
        <v>44601</v>
      </c>
      <c r="J41">
        <f>VLOOKUP(APOCOCO[[#This Row],[Product ID]],STORE[],3,0)</f>
        <v>28.99</v>
      </c>
      <c r="K41">
        <f>APOCOCO[[#This Row],[Units Sold]]*APOCOCO[[#This Row],[SELLING PRICE]]</f>
        <v>1565.4599999999998</v>
      </c>
      <c r="L41">
        <f>VLOOKUP(APOCOCO[[#This Row],[Product ID]],STORE[],4,0)</f>
        <v>10.58</v>
      </c>
      <c r="M41" s="5">
        <f>APOCOCO[[#This Row],[COST PRICE]]*APOCOCO[[#This Row],[Units Sold]]</f>
        <v>571.32000000000005</v>
      </c>
      <c r="N41" s="5">
        <f>APOCOCO[[#This Row],[TOTAL SALES]]-APOCOCO[[#This Row],[TOTAL COST PRICE]]</f>
        <v>994.13999999999976</v>
      </c>
      <c r="O41" s="5">
        <f>APOCOCO[[#This Row],[TOTAL SALES]]-APOCOCO[[#This Row],[VAT]]</f>
        <v>1448.0504999999998</v>
      </c>
      <c r="P41" s="5">
        <f>7.5%*APOCOCO[[#This Row],[TOTAL SALES]]</f>
        <v>117.40949999999998</v>
      </c>
    </row>
    <row r="42" spans="1:16" x14ac:dyDescent="0.25">
      <c r="A42">
        <v>41</v>
      </c>
      <c r="B42" t="s">
        <v>18</v>
      </c>
      <c r="C42">
        <v>10010</v>
      </c>
      <c r="D42" t="str">
        <f>VLOOKUP(APOCOCO[[#This Row],[Product ID]],STORE[[#All],[Product ID]:[Product Name]],2,0)</f>
        <v>N95 Mask</v>
      </c>
      <c r="E42">
        <v>7274</v>
      </c>
      <c r="F42">
        <v>60</v>
      </c>
      <c r="G42" t="s">
        <v>27</v>
      </c>
      <c r="H42">
        <v>41</v>
      </c>
      <c r="I42" s="3">
        <v>44602</v>
      </c>
      <c r="J42">
        <f>VLOOKUP(APOCOCO[[#This Row],[Product ID]],STORE[],3,0)</f>
        <v>2.75</v>
      </c>
      <c r="K42">
        <f>APOCOCO[[#This Row],[Units Sold]]*APOCOCO[[#This Row],[SELLING PRICE]]</f>
        <v>165</v>
      </c>
      <c r="L42">
        <f>VLOOKUP(APOCOCO[[#This Row],[Product ID]],STORE[],4,0)</f>
        <v>1.01</v>
      </c>
      <c r="M42" s="5">
        <f>APOCOCO[[#This Row],[COST PRICE]]*APOCOCO[[#This Row],[Units Sold]]</f>
        <v>60.6</v>
      </c>
      <c r="N42" s="5">
        <f>APOCOCO[[#This Row],[TOTAL SALES]]-APOCOCO[[#This Row],[TOTAL COST PRICE]]</f>
        <v>104.4</v>
      </c>
      <c r="O42" s="5">
        <f>APOCOCO[[#This Row],[TOTAL SALES]]-APOCOCO[[#This Row],[VAT]]</f>
        <v>152.625</v>
      </c>
      <c r="P42" s="5">
        <f>7.5%*APOCOCO[[#This Row],[TOTAL SALES]]</f>
        <v>12.375</v>
      </c>
    </row>
    <row r="43" spans="1:16" x14ac:dyDescent="0.25">
      <c r="A43">
        <v>42</v>
      </c>
      <c r="B43" t="s">
        <v>19</v>
      </c>
      <c r="C43">
        <v>10003</v>
      </c>
      <c r="D43" t="str">
        <f>VLOOKUP(APOCOCO[[#This Row],[Product ID]],STORE[[#All],[Product ID]:[Product Name]],2,0)</f>
        <v xml:space="preserve">Stainless Steel Axe </v>
      </c>
      <c r="E43">
        <v>4500</v>
      </c>
      <c r="F43">
        <v>19</v>
      </c>
      <c r="G43" t="s">
        <v>27</v>
      </c>
      <c r="H43">
        <v>42</v>
      </c>
      <c r="I43" s="3">
        <v>44603</v>
      </c>
      <c r="J43">
        <f>VLOOKUP(APOCOCO[[#This Row],[Product ID]],STORE[],3,0)</f>
        <v>45.5</v>
      </c>
      <c r="K43">
        <f>APOCOCO[[#This Row],[Units Sold]]*APOCOCO[[#This Row],[SELLING PRICE]]</f>
        <v>864.5</v>
      </c>
      <c r="L43">
        <f>VLOOKUP(APOCOCO[[#This Row],[Product ID]],STORE[],4,0)</f>
        <v>32.450000000000003</v>
      </c>
      <c r="M43" s="5">
        <f>APOCOCO[[#This Row],[COST PRICE]]*APOCOCO[[#This Row],[Units Sold]]</f>
        <v>616.55000000000007</v>
      </c>
      <c r="N43" s="5">
        <f>APOCOCO[[#This Row],[TOTAL SALES]]-APOCOCO[[#This Row],[TOTAL COST PRICE]]</f>
        <v>247.94999999999993</v>
      </c>
      <c r="O43" s="5">
        <f>APOCOCO[[#This Row],[TOTAL SALES]]-APOCOCO[[#This Row],[VAT]]</f>
        <v>799.66250000000002</v>
      </c>
      <c r="P43" s="5">
        <f>7.5%*APOCOCO[[#This Row],[TOTAL SALES]]</f>
        <v>64.837499999999991</v>
      </c>
    </row>
    <row r="44" spans="1:16" x14ac:dyDescent="0.25">
      <c r="A44">
        <v>43</v>
      </c>
      <c r="B44" t="s">
        <v>20</v>
      </c>
      <c r="C44">
        <v>10004</v>
      </c>
      <c r="D44" t="str">
        <f>VLOOKUP(APOCOCO[[#This Row],[Product ID]],STORE[[#All],[Product ID]:[Product Name]],2,0)</f>
        <v>Backpack</v>
      </c>
      <c r="E44">
        <v>3789</v>
      </c>
      <c r="F44">
        <v>4</v>
      </c>
      <c r="G44" t="s">
        <v>27</v>
      </c>
      <c r="H44">
        <v>43</v>
      </c>
      <c r="I44" s="3">
        <v>44604</v>
      </c>
      <c r="J44">
        <f>VLOOKUP(APOCOCO[[#This Row],[Product ID]],STORE[],3,0)</f>
        <v>39.99</v>
      </c>
      <c r="K44">
        <f>APOCOCO[[#This Row],[Units Sold]]*APOCOCO[[#This Row],[SELLING PRICE]]</f>
        <v>159.96</v>
      </c>
      <c r="L44">
        <f>VLOOKUP(APOCOCO[[#This Row],[Product ID]],STORE[],4,0)</f>
        <v>26.92</v>
      </c>
      <c r="M44" s="5">
        <f>APOCOCO[[#This Row],[COST PRICE]]*APOCOCO[[#This Row],[Units Sold]]</f>
        <v>107.68</v>
      </c>
      <c r="N44" s="5">
        <f>APOCOCO[[#This Row],[TOTAL SALES]]-APOCOCO[[#This Row],[TOTAL COST PRICE]]</f>
        <v>52.28</v>
      </c>
      <c r="O44" s="5">
        <f>APOCOCO[[#This Row],[TOTAL SALES]]-APOCOCO[[#This Row],[VAT]]</f>
        <v>147.96300000000002</v>
      </c>
      <c r="P44" s="5">
        <f>7.5%*APOCOCO[[#This Row],[TOTAL SALES]]</f>
        <v>11.997</v>
      </c>
    </row>
    <row r="45" spans="1:16" x14ac:dyDescent="0.25">
      <c r="A45">
        <v>44</v>
      </c>
      <c r="B45" t="s">
        <v>17</v>
      </c>
      <c r="C45">
        <v>10010</v>
      </c>
      <c r="D45" t="str">
        <f>VLOOKUP(APOCOCO[[#This Row],[Product ID]],STORE[[#All],[Product ID]:[Product Name]],2,0)</f>
        <v>N95 Mask</v>
      </c>
      <c r="E45">
        <v>3665</v>
      </c>
      <c r="F45">
        <v>76</v>
      </c>
      <c r="G45" t="s">
        <v>27</v>
      </c>
      <c r="H45">
        <v>44</v>
      </c>
      <c r="I45" s="3">
        <v>44605</v>
      </c>
      <c r="J45">
        <f>VLOOKUP(APOCOCO[[#This Row],[Product ID]],STORE[],3,0)</f>
        <v>2.75</v>
      </c>
      <c r="K45">
        <f>APOCOCO[[#This Row],[Units Sold]]*APOCOCO[[#This Row],[SELLING PRICE]]</f>
        <v>209</v>
      </c>
      <c r="L45">
        <f>VLOOKUP(APOCOCO[[#This Row],[Product ID]],STORE[],4,0)</f>
        <v>1.01</v>
      </c>
      <c r="M45" s="5">
        <f>APOCOCO[[#This Row],[COST PRICE]]*APOCOCO[[#This Row],[Units Sold]]</f>
        <v>76.760000000000005</v>
      </c>
      <c r="N45" s="5">
        <f>APOCOCO[[#This Row],[TOTAL SALES]]-APOCOCO[[#This Row],[TOTAL COST PRICE]]</f>
        <v>132.24</v>
      </c>
      <c r="O45" s="5">
        <f>APOCOCO[[#This Row],[TOTAL SALES]]-APOCOCO[[#This Row],[VAT]]</f>
        <v>193.32499999999999</v>
      </c>
      <c r="P45" s="5">
        <f>7.5%*APOCOCO[[#This Row],[TOTAL SALES]]</f>
        <v>15.674999999999999</v>
      </c>
    </row>
    <row r="46" spans="1:16" x14ac:dyDescent="0.25">
      <c r="A46">
        <v>45</v>
      </c>
      <c r="B46" t="s">
        <v>18</v>
      </c>
      <c r="C46">
        <v>10006</v>
      </c>
      <c r="D46" t="str">
        <f>VLOOKUP(APOCOCO[[#This Row],[Product ID]],STORE[[#All],[Product ID]:[Product Name]],2,0)</f>
        <v>Solar Battery Flashlight</v>
      </c>
      <c r="E46">
        <v>9760</v>
      </c>
      <c r="F46">
        <v>26</v>
      </c>
      <c r="G46" t="s">
        <v>27</v>
      </c>
      <c r="H46">
        <v>45</v>
      </c>
      <c r="I46" s="3">
        <v>44606</v>
      </c>
      <c r="J46">
        <f>VLOOKUP(APOCOCO[[#This Row],[Product ID]],STORE[],3,0)</f>
        <v>26.49</v>
      </c>
      <c r="K46">
        <f>APOCOCO[[#This Row],[Units Sold]]*APOCOCO[[#This Row],[SELLING PRICE]]</f>
        <v>688.74</v>
      </c>
      <c r="L46">
        <f>VLOOKUP(APOCOCO[[#This Row],[Product ID]],STORE[],4,0)</f>
        <v>13.41</v>
      </c>
      <c r="M46" s="5">
        <f>APOCOCO[[#This Row],[COST PRICE]]*APOCOCO[[#This Row],[Units Sold]]</f>
        <v>348.66</v>
      </c>
      <c r="N46" s="5">
        <f>APOCOCO[[#This Row],[TOTAL SALES]]-APOCOCO[[#This Row],[TOTAL COST PRICE]]</f>
        <v>340.08</v>
      </c>
      <c r="O46" s="5">
        <f>APOCOCO[[#This Row],[TOTAL SALES]]-APOCOCO[[#This Row],[VAT]]</f>
        <v>637.08450000000005</v>
      </c>
      <c r="P46" s="5">
        <f>7.5%*APOCOCO[[#This Row],[TOTAL SALES]]</f>
        <v>51.655499999999996</v>
      </c>
    </row>
    <row r="47" spans="1:16" x14ac:dyDescent="0.25">
      <c r="A47">
        <v>46</v>
      </c>
      <c r="B47" t="s">
        <v>19</v>
      </c>
      <c r="C47">
        <v>10003</v>
      </c>
      <c r="D47" t="str">
        <f>VLOOKUP(APOCOCO[[#This Row],[Product ID]],STORE[[#All],[Product ID]:[Product Name]],2,0)</f>
        <v xml:space="preserve">Stainless Steel Axe </v>
      </c>
      <c r="E47">
        <v>5432</v>
      </c>
      <c r="F47">
        <v>35</v>
      </c>
      <c r="G47" t="s">
        <v>27</v>
      </c>
      <c r="H47">
        <v>46</v>
      </c>
      <c r="I47" s="3">
        <v>44607</v>
      </c>
      <c r="J47">
        <f>VLOOKUP(APOCOCO[[#This Row],[Product ID]],STORE[],3,0)</f>
        <v>45.5</v>
      </c>
      <c r="K47">
        <f>APOCOCO[[#This Row],[Units Sold]]*APOCOCO[[#This Row],[SELLING PRICE]]</f>
        <v>1592.5</v>
      </c>
      <c r="L47">
        <f>VLOOKUP(APOCOCO[[#This Row],[Product ID]],STORE[],4,0)</f>
        <v>32.450000000000003</v>
      </c>
      <c r="M47" s="5">
        <f>APOCOCO[[#This Row],[COST PRICE]]*APOCOCO[[#This Row],[Units Sold]]</f>
        <v>1135.75</v>
      </c>
      <c r="N47" s="5">
        <f>APOCOCO[[#This Row],[TOTAL SALES]]-APOCOCO[[#This Row],[TOTAL COST PRICE]]</f>
        <v>456.75</v>
      </c>
      <c r="O47" s="5">
        <f>APOCOCO[[#This Row],[TOTAL SALES]]-APOCOCO[[#This Row],[VAT]]</f>
        <v>1473.0625</v>
      </c>
      <c r="P47" s="5">
        <f>7.5%*APOCOCO[[#This Row],[TOTAL SALES]]</f>
        <v>119.4375</v>
      </c>
    </row>
    <row r="48" spans="1:16" x14ac:dyDescent="0.25">
      <c r="A48">
        <v>47</v>
      </c>
      <c r="B48" t="s">
        <v>20</v>
      </c>
      <c r="C48">
        <v>10008</v>
      </c>
      <c r="D48" t="str">
        <f>VLOOKUP(APOCOCO[[#This Row],[Product ID]],STORE[[#All],[Product ID]:[Product Name]],2,0)</f>
        <v>Duct Tape</v>
      </c>
      <c r="E48">
        <v>6035</v>
      </c>
      <c r="F48">
        <v>67</v>
      </c>
      <c r="G48" t="s">
        <v>27</v>
      </c>
      <c r="H48">
        <v>47</v>
      </c>
      <c r="I48" s="3">
        <v>44608</v>
      </c>
      <c r="J48">
        <f>VLOOKUP(APOCOCO[[#This Row],[Product ID]],STORE[],3,0)</f>
        <v>6.25</v>
      </c>
      <c r="K48">
        <f>APOCOCO[[#This Row],[Units Sold]]*APOCOCO[[#This Row],[SELLING PRICE]]</f>
        <v>418.75</v>
      </c>
      <c r="L48">
        <f>VLOOKUP(APOCOCO[[#This Row],[Product ID]],STORE[],4,0)</f>
        <v>4.87</v>
      </c>
      <c r="M48" s="5">
        <f>APOCOCO[[#This Row],[COST PRICE]]*APOCOCO[[#This Row],[Units Sold]]</f>
        <v>326.29000000000002</v>
      </c>
      <c r="N48" s="5">
        <f>APOCOCO[[#This Row],[TOTAL SALES]]-APOCOCO[[#This Row],[TOTAL COST PRICE]]</f>
        <v>92.45999999999998</v>
      </c>
      <c r="O48" s="5">
        <f>APOCOCO[[#This Row],[TOTAL SALES]]-APOCOCO[[#This Row],[VAT]]</f>
        <v>387.34375</v>
      </c>
      <c r="P48" s="5">
        <f>7.5%*APOCOCO[[#This Row],[TOTAL SALES]]</f>
        <v>31.40625</v>
      </c>
    </row>
    <row r="49" spans="1:16" x14ac:dyDescent="0.25">
      <c r="A49">
        <v>48</v>
      </c>
      <c r="B49" t="s">
        <v>17</v>
      </c>
      <c r="C49">
        <v>10003</v>
      </c>
      <c r="D49" t="str">
        <f>VLOOKUP(APOCOCO[[#This Row],[Product ID]],STORE[[#All],[Product ID]:[Product Name]],2,0)</f>
        <v xml:space="preserve">Stainless Steel Axe </v>
      </c>
      <c r="E49">
        <v>3522</v>
      </c>
      <c r="F49">
        <v>27</v>
      </c>
      <c r="G49" t="s">
        <v>27</v>
      </c>
      <c r="H49">
        <v>48</v>
      </c>
      <c r="I49" s="3">
        <v>44609</v>
      </c>
      <c r="J49">
        <f>VLOOKUP(APOCOCO[[#This Row],[Product ID]],STORE[],3,0)</f>
        <v>45.5</v>
      </c>
      <c r="K49">
        <f>APOCOCO[[#This Row],[Units Sold]]*APOCOCO[[#This Row],[SELLING PRICE]]</f>
        <v>1228.5</v>
      </c>
      <c r="L49">
        <f>VLOOKUP(APOCOCO[[#This Row],[Product ID]],STORE[],4,0)</f>
        <v>32.450000000000003</v>
      </c>
      <c r="M49" s="5">
        <f>APOCOCO[[#This Row],[COST PRICE]]*APOCOCO[[#This Row],[Units Sold]]</f>
        <v>876.15000000000009</v>
      </c>
      <c r="N49" s="5">
        <f>APOCOCO[[#This Row],[TOTAL SALES]]-APOCOCO[[#This Row],[TOTAL COST PRICE]]</f>
        <v>352.34999999999991</v>
      </c>
      <c r="O49" s="5">
        <f>APOCOCO[[#This Row],[TOTAL SALES]]-APOCOCO[[#This Row],[VAT]]</f>
        <v>1136.3625</v>
      </c>
      <c r="P49" s="5">
        <f>7.5%*APOCOCO[[#This Row],[TOTAL SALES]]</f>
        <v>92.137500000000003</v>
      </c>
    </row>
    <row r="50" spans="1:16" x14ac:dyDescent="0.25">
      <c r="A50">
        <v>49</v>
      </c>
      <c r="B50" t="s">
        <v>18</v>
      </c>
      <c r="C50">
        <v>10007</v>
      </c>
      <c r="D50" t="str">
        <f>VLOOKUP(APOCOCO[[#This Row],[Product ID]],STORE[[#All],[Product ID]:[Product Name]],2,0)</f>
        <v>Weatherproof Jacket</v>
      </c>
      <c r="E50">
        <v>9305</v>
      </c>
      <c r="F50">
        <v>6</v>
      </c>
      <c r="G50" t="s">
        <v>27</v>
      </c>
      <c r="H50">
        <v>49</v>
      </c>
      <c r="I50" s="3">
        <v>44610</v>
      </c>
      <c r="J50">
        <f>VLOOKUP(APOCOCO[[#This Row],[Product ID]],STORE[],3,0)</f>
        <v>79.989999999999995</v>
      </c>
      <c r="K50">
        <f>APOCOCO[[#This Row],[Units Sold]]*APOCOCO[[#This Row],[SELLING PRICE]]</f>
        <v>479.93999999999994</v>
      </c>
      <c r="L50">
        <f>VLOOKUP(APOCOCO[[#This Row],[Product ID]],STORE[],4,0)</f>
        <v>30.59</v>
      </c>
      <c r="M50" s="5">
        <f>APOCOCO[[#This Row],[COST PRICE]]*APOCOCO[[#This Row],[Units Sold]]</f>
        <v>183.54</v>
      </c>
      <c r="N50" s="5">
        <f>APOCOCO[[#This Row],[TOTAL SALES]]-APOCOCO[[#This Row],[TOTAL COST PRICE]]</f>
        <v>296.39999999999998</v>
      </c>
      <c r="O50" s="5">
        <f>APOCOCO[[#This Row],[TOTAL SALES]]-APOCOCO[[#This Row],[VAT]]</f>
        <v>443.94449999999995</v>
      </c>
      <c r="P50" s="5">
        <f>7.5%*APOCOCO[[#This Row],[TOTAL SALES]]</f>
        <v>35.995499999999993</v>
      </c>
    </row>
    <row r="51" spans="1:16" x14ac:dyDescent="0.25">
      <c r="A51">
        <v>50</v>
      </c>
      <c r="B51" t="s">
        <v>19</v>
      </c>
      <c r="C51">
        <v>10005</v>
      </c>
      <c r="D51" t="str">
        <f>VLOOKUP(APOCOCO[[#This Row],[Product ID]],STORE[[#All],[Product ID]:[Product Name]],2,0)</f>
        <v>Multitool Survivial Knife</v>
      </c>
      <c r="E51">
        <v>1436</v>
      </c>
      <c r="F51">
        <v>41</v>
      </c>
      <c r="G51" t="s">
        <v>27</v>
      </c>
      <c r="H51">
        <v>50</v>
      </c>
      <c r="I51" s="3">
        <v>44611</v>
      </c>
      <c r="J51">
        <f>VLOOKUP(APOCOCO[[#This Row],[Product ID]],STORE[],3,0)</f>
        <v>28.99</v>
      </c>
      <c r="K51">
        <f>APOCOCO[[#This Row],[Units Sold]]*APOCOCO[[#This Row],[SELLING PRICE]]</f>
        <v>1188.5899999999999</v>
      </c>
      <c r="L51">
        <f>VLOOKUP(APOCOCO[[#This Row],[Product ID]],STORE[],4,0)</f>
        <v>10.58</v>
      </c>
      <c r="M51" s="5">
        <f>APOCOCO[[#This Row],[COST PRICE]]*APOCOCO[[#This Row],[Units Sold]]</f>
        <v>433.78000000000003</v>
      </c>
      <c r="N51" s="5">
        <f>APOCOCO[[#This Row],[TOTAL SALES]]-APOCOCO[[#This Row],[TOTAL COST PRICE]]</f>
        <v>754.81</v>
      </c>
      <c r="O51" s="5">
        <f>APOCOCO[[#This Row],[TOTAL SALES]]-APOCOCO[[#This Row],[VAT]]</f>
        <v>1099.4457499999999</v>
      </c>
      <c r="P51" s="5">
        <f>7.5%*APOCOCO[[#This Row],[TOTAL SALES]]</f>
        <v>89.144249999999985</v>
      </c>
    </row>
    <row r="52" spans="1:16" x14ac:dyDescent="0.25">
      <c r="A52">
        <v>51</v>
      </c>
      <c r="B52" t="s">
        <v>20</v>
      </c>
      <c r="C52">
        <v>10008</v>
      </c>
      <c r="D52" t="str">
        <f>VLOOKUP(APOCOCO[[#This Row],[Product ID]],STORE[[#All],[Product ID]:[Product Name]],2,0)</f>
        <v>Duct Tape</v>
      </c>
      <c r="E52">
        <v>9814</v>
      </c>
      <c r="F52">
        <v>36</v>
      </c>
      <c r="G52" t="s">
        <v>27</v>
      </c>
      <c r="H52">
        <v>51</v>
      </c>
      <c r="I52" s="3">
        <v>44612</v>
      </c>
      <c r="J52">
        <f>VLOOKUP(APOCOCO[[#This Row],[Product ID]],STORE[],3,0)</f>
        <v>6.25</v>
      </c>
      <c r="K52">
        <f>APOCOCO[[#This Row],[Units Sold]]*APOCOCO[[#This Row],[SELLING PRICE]]</f>
        <v>225</v>
      </c>
      <c r="L52">
        <f>VLOOKUP(APOCOCO[[#This Row],[Product ID]],STORE[],4,0)</f>
        <v>4.87</v>
      </c>
      <c r="M52" s="5">
        <f>APOCOCO[[#This Row],[COST PRICE]]*APOCOCO[[#This Row],[Units Sold]]</f>
        <v>175.32</v>
      </c>
      <c r="N52" s="5">
        <f>APOCOCO[[#This Row],[TOTAL SALES]]-APOCOCO[[#This Row],[TOTAL COST PRICE]]</f>
        <v>49.680000000000007</v>
      </c>
      <c r="O52" s="5">
        <f>APOCOCO[[#This Row],[TOTAL SALES]]-APOCOCO[[#This Row],[VAT]]</f>
        <v>208.125</v>
      </c>
      <c r="P52" s="5">
        <f>7.5%*APOCOCO[[#This Row],[TOTAL SALES]]</f>
        <v>16.875</v>
      </c>
    </row>
    <row r="53" spans="1:16" x14ac:dyDescent="0.25">
      <c r="A53">
        <v>52</v>
      </c>
      <c r="B53" t="s">
        <v>17</v>
      </c>
      <c r="C53">
        <v>10008</v>
      </c>
      <c r="D53" t="str">
        <f>VLOOKUP(APOCOCO[[#This Row],[Product ID]],STORE[[#All],[Product ID]:[Product Name]],2,0)</f>
        <v>Duct Tape</v>
      </c>
      <c r="E53">
        <v>8032</v>
      </c>
      <c r="F53">
        <v>75</v>
      </c>
      <c r="G53" t="s">
        <v>27</v>
      </c>
      <c r="H53">
        <v>52</v>
      </c>
      <c r="I53" s="3">
        <v>44613</v>
      </c>
      <c r="J53">
        <f>VLOOKUP(APOCOCO[[#This Row],[Product ID]],STORE[],3,0)</f>
        <v>6.25</v>
      </c>
      <c r="K53">
        <f>APOCOCO[[#This Row],[Units Sold]]*APOCOCO[[#This Row],[SELLING PRICE]]</f>
        <v>468.75</v>
      </c>
      <c r="L53">
        <f>VLOOKUP(APOCOCO[[#This Row],[Product ID]],STORE[],4,0)</f>
        <v>4.87</v>
      </c>
      <c r="M53" s="5">
        <f>APOCOCO[[#This Row],[COST PRICE]]*APOCOCO[[#This Row],[Units Sold]]</f>
        <v>365.25</v>
      </c>
      <c r="N53" s="5">
        <f>APOCOCO[[#This Row],[TOTAL SALES]]-APOCOCO[[#This Row],[TOTAL COST PRICE]]</f>
        <v>103.5</v>
      </c>
      <c r="O53" s="5">
        <f>APOCOCO[[#This Row],[TOTAL SALES]]-APOCOCO[[#This Row],[VAT]]</f>
        <v>433.59375</v>
      </c>
      <c r="P53" s="5">
        <f>7.5%*APOCOCO[[#This Row],[TOTAL SALES]]</f>
        <v>35.15625</v>
      </c>
    </row>
    <row r="54" spans="1:16" x14ac:dyDescent="0.25">
      <c r="A54">
        <v>53</v>
      </c>
      <c r="B54" t="s">
        <v>18</v>
      </c>
      <c r="C54">
        <v>10008</v>
      </c>
      <c r="D54" t="str">
        <f>VLOOKUP(APOCOCO[[#This Row],[Product ID]],STORE[[#All],[Product ID]:[Product Name]],2,0)</f>
        <v>Duct Tape</v>
      </c>
      <c r="E54">
        <v>7580</v>
      </c>
      <c r="F54">
        <v>32</v>
      </c>
      <c r="G54" t="s">
        <v>27</v>
      </c>
      <c r="H54">
        <v>53</v>
      </c>
      <c r="I54" s="3">
        <v>44614</v>
      </c>
      <c r="J54">
        <f>VLOOKUP(APOCOCO[[#This Row],[Product ID]],STORE[],3,0)</f>
        <v>6.25</v>
      </c>
      <c r="K54">
        <f>APOCOCO[[#This Row],[Units Sold]]*APOCOCO[[#This Row],[SELLING PRICE]]</f>
        <v>200</v>
      </c>
      <c r="L54">
        <f>VLOOKUP(APOCOCO[[#This Row],[Product ID]],STORE[],4,0)</f>
        <v>4.87</v>
      </c>
      <c r="M54" s="5">
        <f>APOCOCO[[#This Row],[COST PRICE]]*APOCOCO[[#This Row],[Units Sold]]</f>
        <v>155.84</v>
      </c>
      <c r="N54" s="5">
        <f>APOCOCO[[#This Row],[TOTAL SALES]]-APOCOCO[[#This Row],[TOTAL COST PRICE]]</f>
        <v>44.16</v>
      </c>
      <c r="O54" s="5">
        <f>APOCOCO[[#This Row],[TOTAL SALES]]-APOCOCO[[#This Row],[VAT]]</f>
        <v>185</v>
      </c>
      <c r="P54" s="5">
        <f>7.5%*APOCOCO[[#This Row],[TOTAL SALES]]</f>
        <v>15</v>
      </c>
    </row>
    <row r="55" spans="1:16" x14ac:dyDescent="0.25">
      <c r="A55">
        <v>54</v>
      </c>
      <c r="B55" t="s">
        <v>19</v>
      </c>
      <c r="C55">
        <v>10003</v>
      </c>
      <c r="D55" t="str">
        <f>VLOOKUP(APOCOCO[[#This Row],[Product ID]],STORE[[#All],[Product ID]:[Product Name]],2,0)</f>
        <v xml:space="preserve">Stainless Steel Axe </v>
      </c>
      <c r="E55">
        <v>5730</v>
      </c>
      <c r="F55">
        <v>42</v>
      </c>
      <c r="G55" t="s">
        <v>27</v>
      </c>
      <c r="H55">
        <v>54</v>
      </c>
      <c r="I55" s="3">
        <v>44615</v>
      </c>
      <c r="J55">
        <f>VLOOKUP(APOCOCO[[#This Row],[Product ID]],STORE[],3,0)</f>
        <v>45.5</v>
      </c>
      <c r="K55">
        <f>APOCOCO[[#This Row],[Units Sold]]*APOCOCO[[#This Row],[SELLING PRICE]]</f>
        <v>1911</v>
      </c>
      <c r="L55">
        <f>VLOOKUP(APOCOCO[[#This Row],[Product ID]],STORE[],4,0)</f>
        <v>32.450000000000003</v>
      </c>
      <c r="M55" s="5">
        <f>APOCOCO[[#This Row],[COST PRICE]]*APOCOCO[[#This Row],[Units Sold]]</f>
        <v>1362.9</v>
      </c>
      <c r="N55" s="5">
        <f>APOCOCO[[#This Row],[TOTAL SALES]]-APOCOCO[[#This Row],[TOTAL COST PRICE]]</f>
        <v>548.09999999999991</v>
      </c>
      <c r="O55" s="5">
        <f>APOCOCO[[#This Row],[TOTAL SALES]]-APOCOCO[[#This Row],[VAT]]</f>
        <v>1767.675</v>
      </c>
      <c r="P55" s="5">
        <f>7.5%*APOCOCO[[#This Row],[TOTAL SALES]]</f>
        <v>143.32499999999999</v>
      </c>
    </row>
    <row r="56" spans="1:16" x14ac:dyDescent="0.25">
      <c r="A56">
        <v>55</v>
      </c>
      <c r="B56" t="s">
        <v>20</v>
      </c>
      <c r="C56">
        <v>10010</v>
      </c>
      <c r="D56" t="str">
        <f>VLOOKUP(APOCOCO[[#This Row],[Product ID]],STORE[[#All],[Product ID]:[Product Name]],2,0)</f>
        <v>N95 Mask</v>
      </c>
      <c r="E56">
        <v>5818</v>
      </c>
      <c r="F56">
        <v>5</v>
      </c>
      <c r="G56" t="s">
        <v>27</v>
      </c>
      <c r="H56">
        <v>55</v>
      </c>
      <c r="I56" s="3">
        <v>44616</v>
      </c>
      <c r="J56">
        <f>VLOOKUP(APOCOCO[[#This Row],[Product ID]],STORE[],3,0)</f>
        <v>2.75</v>
      </c>
      <c r="K56">
        <f>APOCOCO[[#This Row],[Units Sold]]*APOCOCO[[#This Row],[SELLING PRICE]]</f>
        <v>13.75</v>
      </c>
      <c r="L56">
        <f>VLOOKUP(APOCOCO[[#This Row],[Product ID]],STORE[],4,0)</f>
        <v>1.01</v>
      </c>
      <c r="M56" s="5">
        <f>APOCOCO[[#This Row],[COST PRICE]]*APOCOCO[[#This Row],[Units Sold]]</f>
        <v>5.05</v>
      </c>
      <c r="N56" s="5">
        <f>APOCOCO[[#This Row],[TOTAL SALES]]-APOCOCO[[#This Row],[TOTAL COST PRICE]]</f>
        <v>8.6999999999999993</v>
      </c>
      <c r="O56" s="5">
        <f>APOCOCO[[#This Row],[TOTAL SALES]]-APOCOCO[[#This Row],[VAT]]</f>
        <v>12.71875</v>
      </c>
      <c r="P56" s="5">
        <f>7.5%*APOCOCO[[#This Row],[TOTAL SALES]]</f>
        <v>1.03125</v>
      </c>
    </row>
    <row r="57" spans="1:16" x14ac:dyDescent="0.25">
      <c r="A57">
        <v>56</v>
      </c>
      <c r="B57" t="s">
        <v>17</v>
      </c>
      <c r="C57">
        <v>10010</v>
      </c>
      <c r="D57" t="str">
        <f>VLOOKUP(APOCOCO[[#This Row],[Product ID]],STORE[[#All],[Product ID]:[Product Name]],2,0)</f>
        <v>N95 Mask</v>
      </c>
      <c r="E57">
        <v>2462</v>
      </c>
      <c r="F57">
        <v>10</v>
      </c>
      <c r="G57" t="s">
        <v>27</v>
      </c>
      <c r="H57">
        <v>56</v>
      </c>
      <c r="I57" s="3">
        <v>44617</v>
      </c>
      <c r="J57">
        <f>VLOOKUP(APOCOCO[[#This Row],[Product ID]],STORE[],3,0)</f>
        <v>2.75</v>
      </c>
      <c r="K57">
        <f>APOCOCO[[#This Row],[Units Sold]]*APOCOCO[[#This Row],[SELLING PRICE]]</f>
        <v>27.5</v>
      </c>
      <c r="L57">
        <f>VLOOKUP(APOCOCO[[#This Row],[Product ID]],STORE[],4,0)</f>
        <v>1.01</v>
      </c>
      <c r="M57" s="5">
        <f>APOCOCO[[#This Row],[COST PRICE]]*APOCOCO[[#This Row],[Units Sold]]</f>
        <v>10.1</v>
      </c>
      <c r="N57" s="5">
        <f>APOCOCO[[#This Row],[TOTAL SALES]]-APOCOCO[[#This Row],[TOTAL COST PRICE]]</f>
        <v>17.399999999999999</v>
      </c>
      <c r="O57" s="5">
        <f>APOCOCO[[#This Row],[TOTAL SALES]]-APOCOCO[[#This Row],[VAT]]</f>
        <v>25.4375</v>
      </c>
      <c r="P57" s="5">
        <f>7.5%*APOCOCO[[#This Row],[TOTAL SALES]]</f>
        <v>2.0625</v>
      </c>
    </row>
    <row r="58" spans="1:16" x14ac:dyDescent="0.25">
      <c r="A58">
        <v>57</v>
      </c>
      <c r="B58" t="s">
        <v>18</v>
      </c>
      <c r="C58">
        <v>10001</v>
      </c>
      <c r="D58" t="str">
        <f>VLOOKUP(APOCOCO[[#This Row],[Product ID]],STORE[[#All],[Product ID]:[Product Name]],2,0)</f>
        <v>Nylon Rope</v>
      </c>
      <c r="E58">
        <v>5989</v>
      </c>
      <c r="F58">
        <v>70</v>
      </c>
      <c r="G58" t="s">
        <v>27</v>
      </c>
      <c r="H58">
        <v>57</v>
      </c>
      <c r="I58" s="3">
        <v>44618</v>
      </c>
      <c r="J58">
        <f>VLOOKUP(APOCOCO[[#This Row],[Product ID]],STORE[],3,0)</f>
        <v>30.99</v>
      </c>
      <c r="K58">
        <f>APOCOCO[[#This Row],[Units Sold]]*APOCOCO[[#This Row],[SELLING PRICE]]</f>
        <v>2169.2999999999997</v>
      </c>
      <c r="L58">
        <f>VLOOKUP(APOCOCO[[#This Row],[Product ID]],STORE[],4,0)</f>
        <v>13.67</v>
      </c>
      <c r="M58" s="5">
        <f>APOCOCO[[#This Row],[COST PRICE]]*APOCOCO[[#This Row],[Units Sold]]</f>
        <v>956.9</v>
      </c>
      <c r="N58" s="5">
        <f>APOCOCO[[#This Row],[TOTAL SALES]]-APOCOCO[[#This Row],[TOTAL COST PRICE]]</f>
        <v>1212.3999999999996</v>
      </c>
      <c r="O58" s="5">
        <f>APOCOCO[[#This Row],[TOTAL SALES]]-APOCOCO[[#This Row],[VAT]]</f>
        <v>2006.6024999999997</v>
      </c>
      <c r="P58" s="5">
        <f>7.5%*APOCOCO[[#This Row],[TOTAL SALES]]</f>
        <v>162.69749999999996</v>
      </c>
    </row>
    <row r="59" spans="1:16" x14ac:dyDescent="0.25">
      <c r="A59">
        <v>58</v>
      </c>
      <c r="B59" t="s">
        <v>19</v>
      </c>
      <c r="C59">
        <v>10002</v>
      </c>
      <c r="D59" t="str">
        <f>VLOOKUP(APOCOCO[[#This Row],[Product ID]],STORE[[#All],[Product ID]:[Product Name]],2,0)</f>
        <v>Waterproof Matches</v>
      </c>
      <c r="E59">
        <v>6153</v>
      </c>
      <c r="F59">
        <v>45</v>
      </c>
      <c r="G59" t="s">
        <v>27</v>
      </c>
      <c r="H59">
        <v>58</v>
      </c>
      <c r="I59" s="3">
        <v>44619</v>
      </c>
      <c r="J59">
        <f>VLOOKUP(APOCOCO[[#This Row],[Product ID]],STORE[],3,0)</f>
        <v>7.99</v>
      </c>
      <c r="K59">
        <f>APOCOCO[[#This Row],[Units Sold]]*APOCOCO[[#This Row],[SELLING PRICE]]</f>
        <v>359.55</v>
      </c>
      <c r="L59">
        <f>VLOOKUP(APOCOCO[[#This Row],[Product ID]],STORE[],4,0)</f>
        <v>2.89</v>
      </c>
      <c r="M59" s="5">
        <f>APOCOCO[[#This Row],[COST PRICE]]*APOCOCO[[#This Row],[Units Sold]]</f>
        <v>130.05000000000001</v>
      </c>
      <c r="N59" s="5">
        <f>APOCOCO[[#This Row],[TOTAL SALES]]-APOCOCO[[#This Row],[TOTAL COST PRICE]]</f>
        <v>229.5</v>
      </c>
      <c r="O59" s="5">
        <f>APOCOCO[[#This Row],[TOTAL SALES]]-APOCOCO[[#This Row],[VAT]]</f>
        <v>332.58375000000001</v>
      </c>
      <c r="P59" s="5">
        <f>7.5%*APOCOCO[[#This Row],[TOTAL SALES]]</f>
        <v>26.966249999999999</v>
      </c>
    </row>
    <row r="60" spans="1:16" x14ac:dyDescent="0.25">
      <c r="A60">
        <v>59</v>
      </c>
      <c r="B60" t="s">
        <v>20</v>
      </c>
      <c r="C60">
        <v>10006</v>
      </c>
      <c r="D60" t="str">
        <f>VLOOKUP(APOCOCO[[#This Row],[Product ID]],STORE[[#All],[Product ID]:[Product Name]],2,0)</f>
        <v>Solar Battery Flashlight</v>
      </c>
      <c r="E60">
        <v>4606</v>
      </c>
      <c r="F60">
        <v>53</v>
      </c>
      <c r="G60" t="s">
        <v>27</v>
      </c>
      <c r="H60">
        <v>59</v>
      </c>
      <c r="I60" s="3">
        <v>44620</v>
      </c>
      <c r="J60">
        <f>VLOOKUP(APOCOCO[[#This Row],[Product ID]],STORE[],3,0)</f>
        <v>26.49</v>
      </c>
      <c r="K60">
        <f>APOCOCO[[#This Row],[Units Sold]]*APOCOCO[[#This Row],[SELLING PRICE]]</f>
        <v>1403.97</v>
      </c>
      <c r="L60">
        <f>VLOOKUP(APOCOCO[[#This Row],[Product ID]],STORE[],4,0)</f>
        <v>13.41</v>
      </c>
      <c r="M60" s="5">
        <f>APOCOCO[[#This Row],[COST PRICE]]*APOCOCO[[#This Row],[Units Sold]]</f>
        <v>710.73</v>
      </c>
      <c r="N60" s="5">
        <f>APOCOCO[[#This Row],[TOTAL SALES]]-APOCOCO[[#This Row],[TOTAL COST PRICE]]</f>
        <v>693.24</v>
      </c>
      <c r="O60" s="5">
        <f>APOCOCO[[#This Row],[TOTAL SALES]]-APOCOCO[[#This Row],[VAT]]</f>
        <v>1298.6722500000001</v>
      </c>
      <c r="P60" s="5">
        <f>7.5%*APOCOCO[[#This Row],[TOTAL SALES]]</f>
        <v>105.29774999999999</v>
      </c>
    </row>
    <row r="61" spans="1:16" x14ac:dyDescent="0.25">
      <c r="A61">
        <v>60</v>
      </c>
      <c r="B61" t="s">
        <v>17</v>
      </c>
      <c r="C61">
        <v>10010</v>
      </c>
      <c r="D61" t="str">
        <f>VLOOKUP(APOCOCO[[#This Row],[Product ID]],STORE[[#All],[Product ID]:[Product Name]],2,0)</f>
        <v>N95 Mask</v>
      </c>
      <c r="E61">
        <v>2059</v>
      </c>
      <c r="F61">
        <v>54</v>
      </c>
      <c r="G61" t="s">
        <v>28</v>
      </c>
      <c r="H61">
        <v>60</v>
      </c>
      <c r="I61" s="3">
        <v>44621</v>
      </c>
      <c r="J61">
        <f>VLOOKUP(APOCOCO[[#This Row],[Product ID]],STORE[],3,0)</f>
        <v>2.75</v>
      </c>
      <c r="K61">
        <f>APOCOCO[[#This Row],[Units Sold]]*APOCOCO[[#This Row],[SELLING PRICE]]</f>
        <v>148.5</v>
      </c>
      <c r="L61">
        <f>VLOOKUP(APOCOCO[[#This Row],[Product ID]],STORE[],4,0)</f>
        <v>1.01</v>
      </c>
      <c r="M61" s="5">
        <f>APOCOCO[[#This Row],[COST PRICE]]*APOCOCO[[#This Row],[Units Sold]]</f>
        <v>54.54</v>
      </c>
      <c r="N61" s="5">
        <f>APOCOCO[[#This Row],[TOTAL SALES]]-APOCOCO[[#This Row],[TOTAL COST PRICE]]</f>
        <v>93.960000000000008</v>
      </c>
      <c r="O61" s="5">
        <f>APOCOCO[[#This Row],[TOTAL SALES]]-APOCOCO[[#This Row],[VAT]]</f>
        <v>137.36250000000001</v>
      </c>
      <c r="P61" s="5">
        <f>7.5%*APOCOCO[[#This Row],[TOTAL SALES]]</f>
        <v>11.137499999999999</v>
      </c>
    </row>
    <row r="62" spans="1:16" x14ac:dyDescent="0.25">
      <c r="A62">
        <v>61</v>
      </c>
      <c r="B62" t="s">
        <v>18</v>
      </c>
      <c r="C62">
        <v>10003</v>
      </c>
      <c r="D62" t="str">
        <f>VLOOKUP(APOCOCO[[#This Row],[Product ID]],STORE[[#All],[Product ID]:[Product Name]],2,0)</f>
        <v xml:space="preserve">Stainless Steel Axe </v>
      </c>
      <c r="E62">
        <v>8063</v>
      </c>
      <c r="F62">
        <v>26</v>
      </c>
      <c r="G62" t="s">
        <v>28</v>
      </c>
      <c r="H62">
        <v>61</v>
      </c>
      <c r="I62" s="3">
        <v>44622</v>
      </c>
      <c r="J62">
        <f>VLOOKUP(APOCOCO[[#This Row],[Product ID]],STORE[],3,0)</f>
        <v>45.5</v>
      </c>
      <c r="K62">
        <f>APOCOCO[[#This Row],[Units Sold]]*APOCOCO[[#This Row],[SELLING PRICE]]</f>
        <v>1183</v>
      </c>
      <c r="L62">
        <f>VLOOKUP(APOCOCO[[#This Row],[Product ID]],STORE[],4,0)</f>
        <v>32.450000000000003</v>
      </c>
      <c r="M62" s="5">
        <f>APOCOCO[[#This Row],[COST PRICE]]*APOCOCO[[#This Row],[Units Sold]]</f>
        <v>843.7</v>
      </c>
      <c r="N62" s="5">
        <f>APOCOCO[[#This Row],[TOTAL SALES]]-APOCOCO[[#This Row],[TOTAL COST PRICE]]</f>
        <v>339.29999999999995</v>
      </c>
      <c r="O62" s="5">
        <f>APOCOCO[[#This Row],[TOTAL SALES]]-APOCOCO[[#This Row],[VAT]]</f>
        <v>1094.2750000000001</v>
      </c>
      <c r="P62" s="5">
        <f>7.5%*APOCOCO[[#This Row],[TOTAL SALES]]</f>
        <v>88.724999999999994</v>
      </c>
    </row>
    <row r="63" spans="1:16" x14ac:dyDescent="0.25">
      <c r="A63">
        <v>62</v>
      </c>
      <c r="B63" t="s">
        <v>19</v>
      </c>
      <c r="C63">
        <v>10005</v>
      </c>
      <c r="D63" t="str">
        <f>VLOOKUP(APOCOCO[[#This Row],[Product ID]],STORE[[#All],[Product ID]:[Product Name]],2,0)</f>
        <v>Multitool Survivial Knife</v>
      </c>
      <c r="E63">
        <v>4266</v>
      </c>
      <c r="F63">
        <v>41</v>
      </c>
      <c r="G63" t="s">
        <v>28</v>
      </c>
      <c r="H63">
        <v>62</v>
      </c>
      <c r="I63" s="3">
        <v>44623</v>
      </c>
      <c r="J63">
        <f>VLOOKUP(APOCOCO[[#This Row],[Product ID]],STORE[],3,0)</f>
        <v>28.99</v>
      </c>
      <c r="K63">
        <f>APOCOCO[[#This Row],[Units Sold]]*APOCOCO[[#This Row],[SELLING PRICE]]</f>
        <v>1188.5899999999999</v>
      </c>
      <c r="L63">
        <f>VLOOKUP(APOCOCO[[#This Row],[Product ID]],STORE[],4,0)</f>
        <v>10.58</v>
      </c>
      <c r="M63" s="5">
        <f>APOCOCO[[#This Row],[COST PRICE]]*APOCOCO[[#This Row],[Units Sold]]</f>
        <v>433.78000000000003</v>
      </c>
      <c r="N63" s="5">
        <f>APOCOCO[[#This Row],[TOTAL SALES]]-APOCOCO[[#This Row],[TOTAL COST PRICE]]</f>
        <v>754.81</v>
      </c>
      <c r="O63" s="5">
        <f>APOCOCO[[#This Row],[TOTAL SALES]]-APOCOCO[[#This Row],[VAT]]</f>
        <v>1099.4457499999999</v>
      </c>
      <c r="P63" s="5">
        <f>7.5%*APOCOCO[[#This Row],[TOTAL SALES]]</f>
        <v>89.144249999999985</v>
      </c>
    </row>
    <row r="64" spans="1:16" x14ac:dyDescent="0.25">
      <c r="A64">
        <v>63</v>
      </c>
      <c r="B64" t="s">
        <v>20</v>
      </c>
      <c r="C64">
        <v>10002</v>
      </c>
      <c r="D64" t="str">
        <f>VLOOKUP(APOCOCO[[#This Row],[Product ID]],STORE[[#All],[Product ID]:[Product Name]],2,0)</f>
        <v>Waterproof Matches</v>
      </c>
      <c r="E64">
        <v>7615</v>
      </c>
      <c r="F64">
        <v>54</v>
      </c>
      <c r="G64" t="s">
        <v>28</v>
      </c>
      <c r="H64">
        <v>63</v>
      </c>
      <c r="I64" s="3">
        <v>44624</v>
      </c>
      <c r="J64">
        <f>VLOOKUP(APOCOCO[[#This Row],[Product ID]],STORE[],3,0)</f>
        <v>7.99</v>
      </c>
      <c r="K64">
        <f>APOCOCO[[#This Row],[Units Sold]]*APOCOCO[[#This Row],[SELLING PRICE]]</f>
        <v>431.46000000000004</v>
      </c>
      <c r="L64">
        <f>VLOOKUP(APOCOCO[[#This Row],[Product ID]],STORE[],4,0)</f>
        <v>2.89</v>
      </c>
      <c r="M64" s="5">
        <f>APOCOCO[[#This Row],[COST PRICE]]*APOCOCO[[#This Row],[Units Sold]]</f>
        <v>156.06</v>
      </c>
      <c r="N64" s="5">
        <f>APOCOCO[[#This Row],[TOTAL SALES]]-APOCOCO[[#This Row],[TOTAL COST PRICE]]</f>
        <v>275.40000000000003</v>
      </c>
      <c r="O64" s="5">
        <f>APOCOCO[[#This Row],[TOTAL SALES]]-APOCOCO[[#This Row],[VAT]]</f>
        <v>399.10050000000001</v>
      </c>
      <c r="P64" s="5">
        <f>7.5%*APOCOCO[[#This Row],[TOTAL SALES]]</f>
        <v>32.359500000000004</v>
      </c>
    </row>
    <row r="65" spans="1:16" x14ac:dyDescent="0.25">
      <c r="A65">
        <v>64</v>
      </c>
      <c r="B65" t="s">
        <v>17</v>
      </c>
      <c r="C65">
        <v>10004</v>
      </c>
      <c r="D65" t="str">
        <f>VLOOKUP(APOCOCO[[#This Row],[Product ID]],STORE[[#All],[Product ID]:[Product Name]],2,0)</f>
        <v>Backpack</v>
      </c>
      <c r="E65">
        <v>4859</v>
      </c>
      <c r="F65">
        <v>55</v>
      </c>
      <c r="G65" t="s">
        <v>28</v>
      </c>
      <c r="H65">
        <v>64</v>
      </c>
      <c r="I65" s="3">
        <v>44625</v>
      </c>
      <c r="J65">
        <f>VLOOKUP(APOCOCO[[#This Row],[Product ID]],STORE[],3,0)</f>
        <v>39.99</v>
      </c>
      <c r="K65">
        <f>APOCOCO[[#This Row],[Units Sold]]*APOCOCO[[#This Row],[SELLING PRICE]]</f>
        <v>2199.4500000000003</v>
      </c>
      <c r="L65">
        <f>VLOOKUP(APOCOCO[[#This Row],[Product ID]],STORE[],4,0)</f>
        <v>26.92</v>
      </c>
      <c r="M65" s="5">
        <f>APOCOCO[[#This Row],[COST PRICE]]*APOCOCO[[#This Row],[Units Sold]]</f>
        <v>1480.6000000000001</v>
      </c>
      <c r="N65" s="5">
        <f>APOCOCO[[#This Row],[TOTAL SALES]]-APOCOCO[[#This Row],[TOTAL COST PRICE]]</f>
        <v>718.85000000000014</v>
      </c>
      <c r="O65" s="5">
        <f>APOCOCO[[#This Row],[TOTAL SALES]]-APOCOCO[[#This Row],[VAT]]</f>
        <v>2034.4912500000003</v>
      </c>
      <c r="P65" s="5">
        <f>7.5%*APOCOCO[[#This Row],[TOTAL SALES]]</f>
        <v>164.95875000000001</v>
      </c>
    </row>
    <row r="66" spans="1:16" x14ac:dyDescent="0.25">
      <c r="A66">
        <v>65</v>
      </c>
      <c r="B66" t="s">
        <v>19</v>
      </c>
      <c r="C66">
        <v>10001</v>
      </c>
      <c r="D66" t="str">
        <f>VLOOKUP(APOCOCO[[#This Row],[Product ID]],STORE[[#All],[Product ID]:[Product Name]],2,0)</f>
        <v>Nylon Rope</v>
      </c>
      <c r="E66">
        <v>7625</v>
      </c>
      <c r="F66">
        <v>17</v>
      </c>
      <c r="G66" t="s">
        <v>28</v>
      </c>
      <c r="H66">
        <v>65</v>
      </c>
      <c r="I66" s="3">
        <v>44626</v>
      </c>
      <c r="J66">
        <f>VLOOKUP(APOCOCO[[#This Row],[Product ID]],STORE[],3,0)</f>
        <v>30.99</v>
      </c>
      <c r="K66">
        <f>APOCOCO[[#This Row],[Units Sold]]*APOCOCO[[#This Row],[SELLING PRICE]]</f>
        <v>526.82999999999993</v>
      </c>
      <c r="L66">
        <f>VLOOKUP(APOCOCO[[#This Row],[Product ID]],STORE[],4,0)</f>
        <v>13.67</v>
      </c>
      <c r="M66" s="5">
        <f>APOCOCO[[#This Row],[COST PRICE]]*APOCOCO[[#This Row],[Units Sold]]</f>
        <v>232.39</v>
      </c>
      <c r="N66" s="5">
        <f>APOCOCO[[#This Row],[TOTAL SALES]]-APOCOCO[[#This Row],[TOTAL COST PRICE]]</f>
        <v>294.43999999999994</v>
      </c>
      <c r="O66" s="5">
        <f>APOCOCO[[#This Row],[TOTAL SALES]]-APOCOCO[[#This Row],[VAT]]</f>
        <v>487.31774999999993</v>
      </c>
      <c r="P66" s="5">
        <f>7.5%*APOCOCO[[#This Row],[TOTAL SALES]]</f>
        <v>39.512249999999995</v>
      </c>
    </row>
    <row r="67" spans="1:16" x14ac:dyDescent="0.25">
      <c r="A67">
        <v>66</v>
      </c>
      <c r="B67" t="s">
        <v>17</v>
      </c>
      <c r="C67">
        <v>10004</v>
      </c>
      <c r="D67" t="str">
        <f>VLOOKUP(APOCOCO[[#This Row],[Product ID]],STORE[[#All],[Product ID]:[Product Name]],2,0)</f>
        <v>Backpack</v>
      </c>
      <c r="E67">
        <v>9996</v>
      </c>
      <c r="F67">
        <v>23</v>
      </c>
      <c r="G67" t="s">
        <v>28</v>
      </c>
      <c r="H67">
        <v>66</v>
      </c>
      <c r="I67" s="3">
        <v>44627</v>
      </c>
      <c r="J67">
        <f>VLOOKUP(APOCOCO[[#This Row],[Product ID]],STORE[],3,0)</f>
        <v>39.99</v>
      </c>
      <c r="K67">
        <f>APOCOCO[[#This Row],[Units Sold]]*APOCOCO[[#This Row],[SELLING PRICE]]</f>
        <v>919.7700000000001</v>
      </c>
      <c r="L67">
        <f>VLOOKUP(APOCOCO[[#This Row],[Product ID]],STORE[],4,0)</f>
        <v>26.92</v>
      </c>
      <c r="M67" s="5">
        <f>APOCOCO[[#This Row],[COST PRICE]]*APOCOCO[[#This Row],[Units Sold]]</f>
        <v>619.16000000000008</v>
      </c>
      <c r="N67" s="5">
        <f>APOCOCO[[#This Row],[TOTAL SALES]]-APOCOCO[[#This Row],[TOTAL COST PRICE]]</f>
        <v>300.61</v>
      </c>
      <c r="O67" s="5">
        <f>APOCOCO[[#This Row],[TOTAL SALES]]-APOCOCO[[#This Row],[VAT]]</f>
        <v>850.78725000000009</v>
      </c>
      <c r="P67" s="5">
        <f>7.5%*APOCOCO[[#This Row],[TOTAL SALES]]</f>
        <v>68.98275000000001</v>
      </c>
    </row>
    <row r="68" spans="1:16" x14ac:dyDescent="0.25">
      <c r="A68">
        <v>67</v>
      </c>
      <c r="B68" t="s">
        <v>19</v>
      </c>
      <c r="C68">
        <v>10001</v>
      </c>
      <c r="D68" t="str">
        <f>VLOOKUP(APOCOCO[[#This Row],[Product ID]],STORE[[#All],[Product ID]:[Product Name]],2,0)</f>
        <v>Nylon Rope</v>
      </c>
      <c r="E68">
        <v>6646</v>
      </c>
      <c r="F68">
        <v>48</v>
      </c>
      <c r="G68" t="s">
        <v>28</v>
      </c>
      <c r="H68">
        <v>67</v>
      </c>
      <c r="I68" s="3">
        <v>44628</v>
      </c>
      <c r="J68">
        <f>VLOOKUP(APOCOCO[[#This Row],[Product ID]],STORE[],3,0)</f>
        <v>30.99</v>
      </c>
      <c r="K68">
        <f>APOCOCO[[#This Row],[Units Sold]]*APOCOCO[[#This Row],[SELLING PRICE]]</f>
        <v>1487.52</v>
      </c>
      <c r="L68">
        <f>VLOOKUP(APOCOCO[[#This Row],[Product ID]],STORE[],4,0)</f>
        <v>13.67</v>
      </c>
      <c r="M68" s="5">
        <f>APOCOCO[[#This Row],[COST PRICE]]*APOCOCO[[#This Row],[Units Sold]]</f>
        <v>656.16</v>
      </c>
      <c r="N68" s="5">
        <f>APOCOCO[[#This Row],[TOTAL SALES]]-APOCOCO[[#This Row],[TOTAL COST PRICE]]</f>
        <v>831.36</v>
      </c>
      <c r="O68" s="5">
        <f>APOCOCO[[#This Row],[TOTAL SALES]]-APOCOCO[[#This Row],[VAT]]</f>
        <v>1375.9559999999999</v>
      </c>
      <c r="P68" s="5">
        <f>7.5%*APOCOCO[[#This Row],[TOTAL SALES]]</f>
        <v>111.56399999999999</v>
      </c>
    </row>
    <row r="69" spans="1:16" x14ac:dyDescent="0.25">
      <c r="A69">
        <v>68</v>
      </c>
      <c r="B69" t="s">
        <v>18</v>
      </c>
      <c r="C69">
        <v>10004</v>
      </c>
      <c r="D69" t="str">
        <f>VLOOKUP(APOCOCO[[#This Row],[Product ID]],STORE[[#All],[Product ID]:[Product Name]],2,0)</f>
        <v>Backpack</v>
      </c>
      <c r="E69">
        <v>8427</v>
      </c>
      <c r="F69">
        <v>61</v>
      </c>
      <c r="G69" t="s">
        <v>28</v>
      </c>
      <c r="H69">
        <v>68</v>
      </c>
      <c r="I69" s="3">
        <v>44629</v>
      </c>
      <c r="J69">
        <f>VLOOKUP(APOCOCO[[#This Row],[Product ID]],STORE[],3,0)</f>
        <v>39.99</v>
      </c>
      <c r="K69">
        <f>APOCOCO[[#This Row],[Units Sold]]*APOCOCO[[#This Row],[SELLING PRICE]]</f>
        <v>2439.3900000000003</v>
      </c>
      <c r="L69">
        <f>VLOOKUP(APOCOCO[[#This Row],[Product ID]],STORE[],4,0)</f>
        <v>26.92</v>
      </c>
      <c r="M69" s="5">
        <f>APOCOCO[[#This Row],[COST PRICE]]*APOCOCO[[#This Row],[Units Sold]]</f>
        <v>1642.1200000000001</v>
      </c>
      <c r="N69" s="5">
        <f>APOCOCO[[#This Row],[TOTAL SALES]]-APOCOCO[[#This Row],[TOTAL COST PRICE]]</f>
        <v>797.27000000000021</v>
      </c>
      <c r="O69" s="5">
        <f>APOCOCO[[#This Row],[TOTAL SALES]]-APOCOCO[[#This Row],[VAT]]</f>
        <v>2256.4357500000001</v>
      </c>
      <c r="P69" s="5">
        <f>7.5%*APOCOCO[[#This Row],[TOTAL SALES]]</f>
        <v>182.95425000000003</v>
      </c>
    </row>
    <row r="70" spans="1:16" x14ac:dyDescent="0.25">
      <c r="A70">
        <v>69</v>
      </c>
      <c r="B70" t="s">
        <v>19</v>
      </c>
      <c r="C70">
        <v>10010</v>
      </c>
      <c r="D70" t="str">
        <f>VLOOKUP(APOCOCO[[#This Row],[Product ID]],STORE[[#All],[Product ID]:[Product Name]],2,0)</f>
        <v>N95 Mask</v>
      </c>
      <c r="E70">
        <v>2923</v>
      </c>
      <c r="F70">
        <v>23</v>
      </c>
      <c r="G70" t="s">
        <v>28</v>
      </c>
      <c r="H70">
        <v>69</v>
      </c>
      <c r="I70" s="3">
        <v>44630</v>
      </c>
      <c r="J70">
        <f>VLOOKUP(APOCOCO[[#This Row],[Product ID]],STORE[],3,0)</f>
        <v>2.75</v>
      </c>
      <c r="K70">
        <f>APOCOCO[[#This Row],[Units Sold]]*APOCOCO[[#This Row],[SELLING PRICE]]</f>
        <v>63.25</v>
      </c>
      <c r="L70">
        <f>VLOOKUP(APOCOCO[[#This Row],[Product ID]],STORE[],4,0)</f>
        <v>1.01</v>
      </c>
      <c r="M70" s="5">
        <f>APOCOCO[[#This Row],[COST PRICE]]*APOCOCO[[#This Row],[Units Sold]]</f>
        <v>23.23</v>
      </c>
      <c r="N70" s="5">
        <f>APOCOCO[[#This Row],[TOTAL SALES]]-APOCOCO[[#This Row],[TOTAL COST PRICE]]</f>
        <v>40.019999999999996</v>
      </c>
      <c r="O70" s="5">
        <f>APOCOCO[[#This Row],[TOTAL SALES]]-APOCOCO[[#This Row],[VAT]]</f>
        <v>58.506250000000001</v>
      </c>
      <c r="P70" s="5">
        <f>7.5%*APOCOCO[[#This Row],[TOTAL SALES]]</f>
        <v>4.7437499999999995</v>
      </c>
    </row>
    <row r="71" spans="1:16" x14ac:dyDescent="0.25">
      <c r="A71">
        <v>70</v>
      </c>
      <c r="B71" t="s">
        <v>20</v>
      </c>
      <c r="C71">
        <v>10007</v>
      </c>
      <c r="D71" t="str">
        <f>VLOOKUP(APOCOCO[[#This Row],[Product ID]],STORE[[#All],[Product ID]:[Product Name]],2,0)</f>
        <v>Weatherproof Jacket</v>
      </c>
      <c r="E71">
        <v>6624</v>
      </c>
      <c r="F71">
        <v>41</v>
      </c>
      <c r="G71" t="s">
        <v>28</v>
      </c>
      <c r="H71">
        <v>70</v>
      </c>
      <c r="I71" s="3">
        <v>44631</v>
      </c>
      <c r="J71">
        <f>VLOOKUP(APOCOCO[[#This Row],[Product ID]],STORE[],3,0)</f>
        <v>79.989999999999995</v>
      </c>
      <c r="K71">
        <f>APOCOCO[[#This Row],[Units Sold]]*APOCOCO[[#This Row],[SELLING PRICE]]</f>
        <v>3279.5899999999997</v>
      </c>
      <c r="L71">
        <f>VLOOKUP(APOCOCO[[#This Row],[Product ID]],STORE[],4,0)</f>
        <v>30.59</v>
      </c>
      <c r="M71" s="5">
        <f>APOCOCO[[#This Row],[COST PRICE]]*APOCOCO[[#This Row],[Units Sold]]</f>
        <v>1254.19</v>
      </c>
      <c r="N71" s="5">
        <f>APOCOCO[[#This Row],[TOTAL SALES]]-APOCOCO[[#This Row],[TOTAL COST PRICE]]</f>
        <v>2025.3999999999996</v>
      </c>
      <c r="O71" s="5">
        <f>APOCOCO[[#This Row],[TOTAL SALES]]-APOCOCO[[#This Row],[VAT]]</f>
        <v>3033.6207499999996</v>
      </c>
      <c r="P71" s="5">
        <f>7.5%*APOCOCO[[#This Row],[TOTAL SALES]]</f>
        <v>245.96924999999996</v>
      </c>
    </row>
    <row r="72" spans="1:16" x14ac:dyDescent="0.25">
      <c r="A72">
        <v>71</v>
      </c>
      <c r="B72" t="s">
        <v>17</v>
      </c>
      <c r="C72">
        <v>10009</v>
      </c>
      <c r="D72" t="str">
        <f>VLOOKUP(APOCOCO[[#This Row],[Product ID]],STORE[[#All],[Product ID]:[Product Name]],2,0)</f>
        <v>Water Purifier</v>
      </c>
      <c r="E72">
        <v>4952</v>
      </c>
      <c r="F72">
        <v>37</v>
      </c>
      <c r="G72" t="s">
        <v>28</v>
      </c>
      <c r="H72">
        <v>71</v>
      </c>
      <c r="I72" s="3">
        <v>44632</v>
      </c>
      <c r="J72">
        <f>VLOOKUP(APOCOCO[[#This Row],[Product ID]],STORE[],3,0)</f>
        <v>30.25</v>
      </c>
      <c r="K72">
        <f>APOCOCO[[#This Row],[Units Sold]]*APOCOCO[[#This Row],[SELLING PRICE]]</f>
        <v>1119.25</v>
      </c>
      <c r="L72">
        <f>VLOOKUP(APOCOCO[[#This Row],[Product ID]],STORE[],4,0)</f>
        <v>17.93</v>
      </c>
      <c r="M72" s="5">
        <f>APOCOCO[[#This Row],[COST PRICE]]*APOCOCO[[#This Row],[Units Sold]]</f>
        <v>663.41</v>
      </c>
      <c r="N72" s="5">
        <f>APOCOCO[[#This Row],[TOTAL SALES]]-APOCOCO[[#This Row],[TOTAL COST PRICE]]</f>
        <v>455.84000000000003</v>
      </c>
      <c r="O72" s="5">
        <f>APOCOCO[[#This Row],[TOTAL SALES]]-APOCOCO[[#This Row],[VAT]]</f>
        <v>1035.3062500000001</v>
      </c>
      <c r="P72" s="5">
        <f>7.5%*APOCOCO[[#This Row],[TOTAL SALES]]</f>
        <v>83.943749999999994</v>
      </c>
    </row>
    <row r="73" spans="1:16" x14ac:dyDescent="0.25">
      <c r="A73">
        <v>72</v>
      </c>
      <c r="B73" t="s">
        <v>19</v>
      </c>
      <c r="C73">
        <v>10005</v>
      </c>
      <c r="D73" t="str">
        <f>VLOOKUP(APOCOCO[[#This Row],[Product ID]],STORE[[#All],[Product ID]:[Product Name]],2,0)</f>
        <v>Multitool Survivial Knife</v>
      </c>
      <c r="E73">
        <v>9881</v>
      </c>
      <c r="F73">
        <v>24</v>
      </c>
      <c r="G73" t="s">
        <v>28</v>
      </c>
      <c r="H73">
        <v>72</v>
      </c>
      <c r="I73" s="3">
        <v>44633</v>
      </c>
      <c r="J73">
        <f>VLOOKUP(APOCOCO[[#This Row],[Product ID]],STORE[],3,0)</f>
        <v>28.99</v>
      </c>
      <c r="K73">
        <f>APOCOCO[[#This Row],[Units Sold]]*APOCOCO[[#This Row],[SELLING PRICE]]</f>
        <v>695.76</v>
      </c>
      <c r="L73">
        <f>VLOOKUP(APOCOCO[[#This Row],[Product ID]],STORE[],4,0)</f>
        <v>10.58</v>
      </c>
      <c r="M73" s="5">
        <f>APOCOCO[[#This Row],[COST PRICE]]*APOCOCO[[#This Row],[Units Sold]]</f>
        <v>253.92000000000002</v>
      </c>
      <c r="N73" s="5">
        <f>APOCOCO[[#This Row],[TOTAL SALES]]-APOCOCO[[#This Row],[TOTAL COST PRICE]]</f>
        <v>441.84</v>
      </c>
      <c r="O73" s="5">
        <f>APOCOCO[[#This Row],[TOTAL SALES]]-APOCOCO[[#This Row],[VAT]]</f>
        <v>643.57799999999997</v>
      </c>
      <c r="P73" s="5">
        <f>7.5%*APOCOCO[[#This Row],[TOTAL SALES]]</f>
        <v>52.181999999999995</v>
      </c>
    </row>
    <row r="74" spans="1:16" x14ac:dyDescent="0.25">
      <c r="A74">
        <v>73</v>
      </c>
      <c r="B74" t="s">
        <v>17</v>
      </c>
      <c r="C74">
        <v>10002</v>
      </c>
      <c r="D74" t="str">
        <f>VLOOKUP(APOCOCO[[#This Row],[Product ID]],STORE[[#All],[Product ID]:[Product Name]],2,0)</f>
        <v>Waterproof Matches</v>
      </c>
      <c r="E74">
        <v>4464</v>
      </c>
      <c r="F74">
        <v>59</v>
      </c>
      <c r="G74" t="s">
        <v>28</v>
      </c>
      <c r="H74">
        <v>73</v>
      </c>
      <c r="I74" s="3">
        <v>44634</v>
      </c>
      <c r="J74">
        <f>VLOOKUP(APOCOCO[[#This Row],[Product ID]],STORE[],3,0)</f>
        <v>7.99</v>
      </c>
      <c r="K74">
        <f>APOCOCO[[#This Row],[Units Sold]]*APOCOCO[[#This Row],[SELLING PRICE]]</f>
        <v>471.41</v>
      </c>
      <c r="L74">
        <f>VLOOKUP(APOCOCO[[#This Row],[Product ID]],STORE[],4,0)</f>
        <v>2.89</v>
      </c>
      <c r="M74" s="5">
        <f>APOCOCO[[#This Row],[COST PRICE]]*APOCOCO[[#This Row],[Units Sold]]</f>
        <v>170.51000000000002</v>
      </c>
      <c r="N74" s="5">
        <f>APOCOCO[[#This Row],[TOTAL SALES]]-APOCOCO[[#This Row],[TOTAL COST PRICE]]</f>
        <v>300.89999999999998</v>
      </c>
      <c r="O74" s="5">
        <f>APOCOCO[[#This Row],[TOTAL SALES]]-APOCOCO[[#This Row],[VAT]]</f>
        <v>436.05425000000002</v>
      </c>
      <c r="P74" s="5">
        <f>7.5%*APOCOCO[[#This Row],[TOTAL SALES]]</f>
        <v>35.35575</v>
      </c>
    </row>
    <row r="75" spans="1:16" x14ac:dyDescent="0.25">
      <c r="A75">
        <v>74</v>
      </c>
      <c r="B75" t="s">
        <v>19</v>
      </c>
      <c r="C75">
        <v>10001</v>
      </c>
      <c r="D75" t="str">
        <f>VLOOKUP(APOCOCO[[#This Row],[Product ID]],STORE[[#All],[Product ID]:[Product Name]],2,0)</f>
        <v>Nylon Rope</v>
      </c>
      <c r="E75">
        <v>2005</v>
      </c>
      <c r="F75">
        <v>46</v>
      </c>
      <c r="G75" t="s">
        <v>28</v>
      </c>
      <c r="H75">
        <v>74</v>
      </c>
      <c r="I75" s="3">
        <v>44635</v>
      </c>
      <c r="J75">
        <f>VLOOKUP(APOCOCO[[#This Row],[Product ID]],STORE[],3,0)</f>
        <v>30.99</v>
      </c>
      <c r="K75">
        <f>APOCOCO[[#This Row],[Units Sold]]*APOCOCO[[#This Row],[SELLING PRICE]]</f>
        <v>1425.54</v>
      </c>
      <c r="L75">
        <f>VLOOKUP(APOCOCO[[#This Row],[Product ID]],STORE[],4,0)</f>
        <v>13.67</v>
      </c>
      <c r="M75" s="5">
        <f>APOCOCO[[#This Row],[COST PRICE]]*APOCOCO[[#This Row],[Units Sold]]</f>
        <v>628.82000000000005</v>
      </c>
      <c r="N75" s="5">
        <f>APOCOCO[[#This Row],[TOTAL SALES]]-APOCOCO[[#This Row],[TOTAL COST PRICE]]</f>
        <v>796.71999999999991</v>
      </c>
      <c r="O75" s="5">
        <f>APOCOCO[[#This Row],[TOTAL SALES]]-APOCOCO[[#This Row],[VAT]]</f>
        <v>1318.6244999999999</v>
      </c>
      <c r="P75" s="5">
        <f>7.5%*APOCOCO[[#This Row],[TOTAL SALES]]</f>
        <v>106.91549999999999</v>
      </c>
    </row>
  </sheetData>
  <conditionalFormatting sqref="E1:E1048576">
    <cfRule type="duplicateValues" dxfId="12"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593E-91AE-4DBD-BA77-9C3C2696278D}">
  <dimension ref="A3:A4"/>
  <sheetViews>
    <sheetView workbookViewId="0">
      <selection activeCell="A4" sqref="A4"/>
    </sheetView>
  </sheetViews>
  <sheetFormatPr defaultRowHeight="15" x14ac:dyDescent="0.25"/>
  <cols>
    <col min="1" max="1" width="21.7109375" bestFit="1" customWidth="1"/>
    <col min="2" max="2" width="16.7109375" bestFit="1" customWidth="1"/>
    <col min="3" max="7" width="2" bestFit="1" customWidth="1"/>
    <col min="8" max="50" width="3" bestFit="1" customWidth="1"/>
    <col min="51" max="51" width="11.28515625" bestFit="1" customWidth="1"/>
  </cols>
  <sheetData>
    <row r="3" spans="1:1" x14ac:dyDescent="0.25">
      <c r="A3" t="s">
        <v>44</v>
      </c>
    </row>
    <row r="4" spans="1:1" x14ac:dyDescent="0.25">
      <c r="A4" s="6">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659-11A4-4C39-A47C-865FF5A53BCB}">
  <dimension ref="B3:G13"/>
  <sheetViews>
    <sheetView showGridLines="0" workbookViewId="0">
      <selection activeCell="L7" sqref="L7"/>
    </sheetView>
  </sheetViews>
  <sheetFormatPr defaultRowHeight="15" x14ac:dyDescent="0.25"/>
  <cols>
    <col min="2" max="2" width="11.28515625" bestFit="1" customWidth="1"/>
    <col min="3" max="3" width="16.7109375" bestFit="1" customWidth="1"/>
    <col min="6" max="6" width="13.140625" bestFit="1" customWidth="1"/>
    <col min="7" max="7" width="14" bestFit="1" customWidth="1"/>
  </cols>
  <sheetData>
    <row r="3" spans="2:7" x14ac:dyDescent="0.25">
      <c r="C3" t="s">
        <v>47</v>
      </c>
      <c r="F3" s="7" t="s">
        <v>45</v>
      </c>
      <c r="G3" t="s">
        <v>47</v>
      </c>
    </row>
    <row r="4" spans="2:7" x14ac:dyDescent="0.25">
      <c r="B4" s="8" t="s">
        <v>9</v>
      </c>
      <c r="C4" s="6">
        <v>3001</v>
      </c>
      <c r="F4" s="8" t="s">
        <v>48</v>
      </c>
      <c r="G4" s="6">
        <v>3001</v>
      </c>
    </row>
    <row r="5" spans="2:7" x14ac:dyDescent="0.25">
      <c r="B5" s="8" t="s">
        <v>46</v>
      </c>
      <c r="C5" s="6">
        <v>3001</v>
      </c>
      <c r="F5" s="8" t="s">
        <v>19</v>
      </c>
      <c r="G5" s="6">
        <v>3001</v>
      </c>
    </row>
    <row r="6" spans="2:7" x14ac:dyDescent="0.25">
      <c r="F6" s="8" t="s">
        <v>20</v>
      </c>
      <c r="G6" s="6">
        <v>3001</v>
      </c>
    </row>
    <row r="7" spans="2:7" x14ac:dyDescent="0.25">
      <c r="F7" s="8" t="s">
        <v>17</v>
      </c>
      <c r="G7" s="6">
        <v>3001</v>
      </c>
    </row>
    <row r="8" spans="2:7" x14ac:dyDescent="0.25">
      <c r="F8" s="8" t="s">
        <v>46</v>
      </c>
      <c r="G8" s="6">
        <v>3001</v>
      </c>
    </row>
    <row r="11" spans="2:7" x14ac:dyDescent="0.25">
      <c r="F11" s="7" t="s">
        <v>45</v>
      </c>
      <c r="G11" t="s">
        <v>49</v>
      </c>
    </row>
    <row r="12" spans="2:7" x14ac:dyDescent="0.25">
      <c r="F12" s="8" t="s">
        <v>9</v>
      </c>
      <c r="G12" s="6">
        <v>43212.429999999993</v>
      </c>
    </row>
    <row r="13" spans="2:7" x14ac:dyDescent="0.25">
      <c r="F13" s="8" t="s">
        <v>46</v>
      </c>
      <c r="G13" s="6">
        <v>43212.429999999993</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72AE-74A0-44F3-99B0-10C19812B370}">
  <dimension ref="A1"/>
  <sheetViews>
    <sheetView workbookViewId="0">
      <selection activeCell="N17" sqref="N17"/>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2004-C92C-46D6-AADF-E9309FA155A3}">
  <dimension ref="A1"/>
  <sheetViews>
    <sheetView tabSelected="1" topLeftCell="B4" zoomScaleNormal="100" workbookViewId="0">
      <selection activeCell="S4" sqref="S4"/>
    </sheetView>
  </sheetViews>
  <sheetFormatPr defaultRowHeight="15" x14ac:dyDescent="0.25"/>
  <cols>
    <col min="1" max="1" width="5.7109375" customWidth="1"/>
  </cols>
  <sheetData/>
  <pageMargins left="0.7" right="0.7" top="0.75" bottom="0.75" header="0.3" footer="0.3"/>
  <pageSetup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A0AD-B641-45AC-8AE6-A66D8EDEDE99}">
  <dimension ref="A1:I75"/>
  <sheetViews>
    <sheetView workbookViewId="0"/>
  </sheetViews>
  <sheetFormatPr defaultRowHeight="15" x14ac:dyDescent="0.25"/>
  <cols>
    <col min="1" max="1" width="4.28515625" bestFit="1" customWidth="1"/>
    <col min="2" max="2" width="35.28515625" bestFit="1" customWidth="1"/>
    <col min="3" max="3" width="10.140625" bestFit="1" customWidth="1"/>
    <col min="4" max="4" width="22.85546875" bestFit="1" customWidth="1"/>
    <col min="5" max="5" width="8.42578125" bestFit="1" customWidth="1"/>
    <col min="6" max="6" width="10" bestFit="1" customWidth="1"/>
    <col min="9" max="9" width="15.85546875" bestFit="1" customWidth="1"/>
  </cols>
  <sheetData>
    <row r="1" spans="1:9" x14ac:dyDescent="0.25">
      <c r="A1" t="s">
        <v>22</v>
      </c>
      <c r="B1" t="s">
        <v>2</v>
      </c>
      <c r="C1" t="s">
        <v>3</v>
      </c>
      <c r="D1" t="s">
        <v>29</v>
      </c>
      <c r="E1" t="s">
        <v>4</v>
      </c>
      <c r="F1" t="s">
        <v>5</v>
      </c>
      <c r="G1" t="s">
        <v>25</v>
      </c>
      <c r="H1" t="s">
        <v>31</v>
      </c>
      <c r="I1" s="3" t="s">
        <v>21</v>
      </c>
    </row>
    <row r="2" spans="1:9" x14ac:dyDescent="0.25">
      <c r="A2">
        <v>1</v>
      </c>
      <c r="B2" t="s">
        <v>17</v>
      </c>
      <c r="C2">
        <v>10006</v>
      </c>
      <c r="D2" t="str">
        <f>VLOOKUP(APOCOCO5[[#This Row],[Product ID]],STORE[[#All],[Product ID]:[Product Name]],2,0)</f>
        <v>Solar Battery Flashlight</v>
      </c>
      <c r="E2">
        <v>1904</v>
      </c>
      <c r="F2">
        <v>32</v>
      </c>
      <c r="G2" t="s">
        <v>26</v>
      </c>
      <c r="H2">
        <v>1</v>
      </c>
      <c r="I2" s="3">
        <v>44562</v>
      </c>
    </row>
    <row r="3" spans="1:9" x14ac:dyDescent="0.25">
      <c r="A3">
        <v>2</v>
      </c>
      <c r="B3" t="s">
        <v>18</v>
      </c>
      <c r="C3">
        <v>10005</v>
      </c>
      <c r="D3" t="str">
        <f>VLOOKUP(APOCOCO5[[#This Row],[Product ID]],STORE[[#All],[Product ID]:[Product Name]],2,0)</f>
        <v>Multitool Survivial Knife</v>
      </c>
      <c r="E3">
        <v>3966</v>
      </c>
      <c r="F3">
        <v>68</v>
      </c>
      <c r="G3" t="s">
        <v>26</v>
      </c>
      <c r="H3">
        <v>2</v>
      </c>
      <c r="I3" s="3">
        <v>44563</v>
      </c>
    </row>
    <row r="4" spans="1:9" x14ac:dyDescent="0.25">
      <c r="A4">
        <v>3</v>
      </c>
      <c r="B4" t="s">
        <v>19</v>
      </c>
      <c r="C4">
        <v>10004</v>
      </c>
      <c r="D4" t="str">
        <f>VLOOKUP(APOCOCO5[[#This Row],[Product ID]],STORE[[#All],[Product ID]:[Product Name]],2,0)</f>
        <v>Backpack</v>
      </c>
      <c r="E4">
        <v>7348</v>
      </c>
      <c r="F4">
        <v>69</v>
      </c>
      <c r="G4" t="s">
        <v>26</v>
      </c>
      <c r="H4">
        <v>3</v>
      </c>
      <c r="I4" s="3">
        <v>44564</v>
      </c>
    </row>
    <row r="5" spans="1:9" x14ac:dyDescent="0.25">
      <c r="A5">
        <v>4</v>
      </c>
      <c r="B5" t="s">
        <v>20</v>
      </c>
      <c r="C5">
        <v>10005</v>
      </c>
      <c r="D5" t="str">
        <f>VLOOKUP(APOCOCO5[[#This Row],[Product ID]],STORE[[#All],[Product ID]:[Product Name]],2,0)</f>
        <v>Multitool Survivial Knife</v>
      </c>
      <c r="E5">
        <v>2409</v>
      </c>
      <c r="F5">
        <v>48</v>
      </c>
      <c r="G5" t="s">
        <v>26</v>
      </c>
      <c r="H5">
        <v>4</v>
      </c>
      <c r="I5" s="3">
        <v>44565</v>
      </c>
    </row>
    <row r="6" spans="1:9" x14ac:dyDescent="0.25">
      <c r="A6">
        <v>5</v>
      </c>
      <c r="B6" t="s">
        <v>17</v>
      </c>
      <c r="C6">
        <v>10010</v>
      </c>
      <c r="D6" t="str">
        <f>VLOOKUP(APOCOCO5[[#This Row],[Product ID]],STORE[[#All],[Product ID]:[Product Name]],2,0)</f>
        <v>N95 Mask</v>
      </c>
      <c r="E6">
        <v>2045</v>
      </c>
      <c r="F6">
        <v>70</v>
      </c>
      <c r="G6" t="s">
        <v>26</v>
      </c>
      <c r="H6">
        <v>5</v>
      </c>
      <c r="I6" s="3">
        <v>44566</v>
      </c>
    </row>
    <row r="7" spans="1:9" x14ac:dyDescent="0.25">
      <c r="A7">
        <v>6</v>
      </c>
      <c r="B7" t="s">
        <v>18</v>
      </c>
      <c r="C7">
        <v>10008</v>
      </c>
      <c r="D7" t="str">
        <f>VLOOKUP(APOCOCO5[[#This Row],[Product ID]],STORE[[#All],[Product ID]:[Product Name]],2,0)</f>
        <v>Duct Tape</v>
      </c>
      <c r="E7">
        <v>9151</v>
      </c>
      <c r="F7">
        <v>6</v>
      </c>
      <c r="G7" t="s">
        <v>26</v>
      </c>
      <c r="H7">
        <v>6</v>
      </c>
      <c r="I7" s="3">
        <v>44567</v>
      </c>
    </row>
    <row r="8" spans="1:9" x14ac:dyDescent="0.25">
      <c r="A8">
        <v>7</v>
      </c>
      <c r="B8" t="s">
        <v>19</v>
      </c>
      <c r="C8">
        <v>10003</v>
      </c>
      <c r="D8" t="str">
        <f>VLOOKUP(APOCOCO5[[#This Row],[Product ID]],STORE[[#All],[Product ID]:[Product Name]],2,0)</f>
        <v xml:space="preserve">Stainless Steel Axe </v>
      </c>
      <c r="E8">
        <v>1065</v>
      </c>
      <c r="F8">
        <v>59</v>
      </c>
      <c r="G8" t="s">
        <v>26</v>
      </c>
      <c r="H8">
        <v>7</v>
      </c>
      <c r="I8" s="3">
        <v>44568</v>
      </c>
    </row>
    <row r="9" spans="1:9" x14ac:dyDescent="0.25">
      <c r="A9">
        <v>8</v>
      </c>
      <c r="B9" t="s">
        <v>20</v>
      </c>
      <c r="C9">
        <v>10003</v>
      </c>
      <c r="D9" t="str">
        <f>VLOOKUP(APOCOCO5[[#This Row],[Product ID]],STORE[[#All],[Product ID]:[Product Name]],2,0)</f>
        <v xml:space="preserve">Stainless Steel Axe </v>
      </c>
      <c r="E9">
        <v>3780</v>
      </c>
      <c r="F9">
        <v>72</v>
      </c>
      <c r="G9" t="s">
        <v>26</v>
      </c>
      <c r="H9">
        <v>8</v>
      </c>
      <c r="I9" s="3">
        <v>44569</v>
      </c>
    </row>
    <row r="10" spans="1:9" x14ac:dyDescent="0.25">
      <c r="A10">
        <v>9</v>
      </c>
      <c r="B10" t="s">
        <v>17</v>
      </c>
      <c r="C10">
        <v>10001</v>
      </c>
      <c r="D10" t="str">
        <f>VLOOKUP(APOCOCO5[[#This Row],[Product ID]],STORE[[#All],[Product ID]:[Product Name]],2,0)</f>
        <v>Nylon Rope</v>
      </c>
      <c r="E10">
        <v>1043</v>
      </c>
      <c r="F10">
        <v>67</v>
      </c>
      <c r="G10" t="s">
        <v>26</v>
      </c>
      <c r="H10">
        <v>9</v>
      </c>
      <c r="I10" s="3">
        <v>44570</v>
      </c>
    </row>
    <row r="11" spans="1:9" x14ac:dyDescent="0.25">
      <c r="A11">
        <v>10</v>
      </c>
      <c r="B11" t="s">
        <v>18</v>
      </c>
      <c r="C11">
        <v>10007</v>
      </c>
      <c r="D11" t="str">
        <f>VLOOKUP(APOCOCO5[[#This Row],[Product ID]],STORE[[#All],[Product ID]:[Product Name]],2,0)</f>
        <v>Weatherproof Jacket</v>
      </c>
      <c r="E11">
        <v>7075</v>
      </c>
      <c r="F11">
        <v>7</v>
      </c>
      <c r="G11" t="s">
        <v>26</v>
      </c>
      <c r="H11">
        <v>10</v>
      </c>
      <c r="I11" s="3">
        <v>44571</v>
      </c>
    </row>
    <row r="12" spans="1:9" x14ac:dyDescent="0.25">
      <c r="A12">
        <v>11</v>
      </c>
      <c r="B12" t="s">
        <v>19</v>
      </c>
      <c r="C12">
        <v>10001</v>
      </c>
      <c r="D12" t="str">
        <f>VLOOKUP(APOCOCO5[[#This Row],[Product ID]],STORE[[#All],[Product ID]:[Product Name]],2,0)</f>
        <v>Nylon Rope</v>
      </c>
      <c r="E12">
        <v>6778</v>
      </c>
      <c r="F12">
        <v>23</v>
      </c>
      <c r="G12" t="s">
        <v>26</v>
      </c>
      <c r="H12">
        <v>11</v>
      </c>
      <c r="I12" s="3">
        <v>44572</v>
      </c>
    </row>
    <row r="13" spans="1:9" x14ac:dyDescent="0.25">
      <c r="A13">
        <v>12</v>
      </c>
      <c r="B13" t="s">
        <v>20</v>
      </c>
      <c r="C13">
        <v>10008</v>
      </c>
      <c r="D13" t="str">
        <f>VLOOKUP(APOCOCO5[[#This Row],[Product ID]],STORE[[#All],[Product ID]:[Product Name]],2,0)</f>
        <v>Duct Tape</v>
      </c>
      <c r="E13">
        <v>3572</v>
      </c>
      <c r="F13">
        <v>56</v>
      </c>
      <c r="G13" t="s">
        <v>26</v>
      </c>
      <c r="H13">
        <v>12</v>
      </c>
      <c r="I13" s="3">
        <v>44573</v>
      </c>
    </row>
    <row r="14" spans="1:9" x14ac:dyDescent="0.25">
      <c r="A14">
        <v>13</v>
      </c>
      <c r="B14" t="s">
        <v>17</v>
      </c>
      <c r="C14">
        <v>10006</v>
      </c>
      <c r="D14" t="str">
        <f>VLOOKUP(APOCOCO5[[#This Row],[Product ID]],STORE[[#All],[Product ID]:[Product Name]],2,0)</f>
        <v>Solar Battery Flashlight</v>
      </c>
      <c r="E14">
        <v>4033</v>
      </c>
      <c r="F14">
        <v>51</v>
      </c>
      <c r="G14" t="s">
        <v>26</v>
      </c>
      <c r="H14">
        <v>13</v>
      </c>
      <c r="I14" s="3">
        <v>44574</v>
      </c>
    </row>
    <row r="15" spans="1:9" x14ac:dyDescent="0.25">
      <c r="A15">
        <v>14</v>
      </c>
      <c r="B15" t="s">
        <v>18</v>
      </c>
      <c r="C15">
        <v>10005</v>
      </c>
      <c r="D15" t="str">
        <f>VLOOKUP(APOCOCO5[[#This Row],[Product ID]],STORE[[#All],[Product ID]:[Product Name]],2,0)</f>
        <v>Multitool Survivial Knife</v>
      </c>
      <c r="E15">
        <v>2073</v>
      </c>
      <c r="F15">
        <v>2</v>
      </c>
      <c r="G15" t="s">
        <v>26</v>
      </c>
      <c r="H15">
        <v>14</v>
      </c>
      <c r="I15" s="3">
        <v>44575</v>
      </c>
    </row>
    <row r="16" spans="1:9" x14ac:dyDescent="0.25">
      <c r="A16">
        <v>15</v>
      </c>
      <c r="B16" t="s">
        <v>19</v>
      </c>
      <c r="C16">
        <v>10010</v>
      </c>
      <c r="D16" t="str">
        <f>VLOOKUP(APOCOCO5[[#This Row],[Product ID]],STORE[[#All],[Product ID]:[Product Name]],2,0)</f>
        <v>N95 Mask</v>
      </c>
      <c r="E16">
        <v>7333</v>
      </c>
      <c r="F16">
        <v>45</v>
      </c>
      <c r="G16" t="s">
        <v>26</v>
      </c>
      <c r="H16">
        <v>15</v>
      </c>
      <c r="I16" s="3">
        <v>44576</v>
      </c>
    </row>
    <row r="17" spans="1:9" x14ac:dyDescent="0.25">
      <c r="A17">
        <v>16</v>
      </c>
      <c r="B17" t="s">
        <v>20</v>
      </c>
      <c r="C17">
        <v>10005</v>
      </c>
      <c r="D17" t="str">
        <f>VLOOKUP(APOCOCO5[[#This Row],[Product ID]],STORE[[#All],[Product ID]:[Product Name]],2,0)</f>
        <v>Multitool Survivial Knife</v>
      </c>
      <c r="E17">
        <v>3352</v>
      </c>
      <c r="F17">
        <v>13</v>
      </c>
      <c r="G17" t="s">
        <v>26</v>
      </c>
      <c r="H17">
        <v>16</v>
      </c>
      <c r="I17" s="3">
        <v>44577</v>
      </c>
    </row>
    <row r="18" spans="1:9" x14ac:dyDescent="0.25">
      <c r="A18">
        <v>17</v>
      </c>
      <c r="B18" t="s">
        <v>17</v>
      </c>
      <c r="C18">
        <v>10003</v>
      </c>
      <c r="D18" t="str">
        <f>VLOOKUP(APOCOCO5[[#This Row],[Product ID]],STORE[[#All],[Product ID]:[Product Name]],2,0)</f>
        <v xml:space="preserve">Stainless Steel Axe </v>
      </c>
      <c r="E18">
        <v>2078</v>
      </c>
      <c r="F18">
        <v>4</v>
      </c>
      <c r="G18" t="s">
        <v>26</v>
      </c>
      <c r="H18">
        <v>17</v>
      </c>
      <c r="I18" s="3">
        <v>44578</v>
      </c>
    </row>
    <row r="19" spans="1:9" x14ac:dyDescent="0.25">
      <c r="A19">
        <v>18</v>
      </c>
      <c r="B19" t="s">
        <v>17</v>
      </c>
      <c r="C19">
        <v>10005</v>
      </c>
      <c r="D19" t="str">
        <f>VLOOKUP(APOCOCO5[[#This Row],[Product ID]],STORE[[#All],[Product ID]:[Product Name]],2,0)</f>
        <v>Multitool Survivial Knife</v>
      </c>
      <c r="E19">
        <v>7616</v>
      </c>
      <c r="F19">
        <v>78</v>
      </c>
      <c r="G19" t="s">
        <v>26</v>
      </c>
      <c r="H19">
        <v>18</v>
      </c>
      <c r="I19" s="3">
        <v>44579</v>
      </c>
    </row>
    <row r="20" spans="1:9" x14ac:dyDescent="0.25">
      <c r="A20">
        <v>19</v>
      </c>
      <c r="B20" t="s">
        <v>18</v>
      </c>
      <c r="C20">
        <v>10009</v>
      </c>
      <c r="D20" t="str">
        <f>VLOOKUP(APOCOCO5[[#This Row],[Product ID]],STORE[[#All],[Product ID]:[Product Name]],2,0)</f>
        <v>Water Purifier</v>
      </c>
      <c r="E20">
        <v>6762</v>
      </c>
      <c r="F20">
        <v>70</v>
      </c>
      <c r="G20" t="s">
        <v>26</v>
      </c>
      <c r="H20">
        <v>19</v>
      </c>
      <c r="I20" s="3">
        <v>44580</v>
      </c>
    </row>
    <row r="21" spans="1:9" x14ac:dyDescent="0.25">
      <c r="A21">
        <v>20</v>
      </c>
      <c r="B21" t="s">
        <v>19</v>
      </c>
      <c r="C21">
        <v>10005</v>
      </c>
      <c r="D21" t="str">
        <f>VLOOKUP(APOCOCO5[[#This Row],[Product ID]],STORE[[#All],[Product ID]:[Product Name]],2,0)</f>
        <v>Multitool Survivial Knife</v>
      </c>
      <c r="E21">
        <v>4556</v>
      </c>
      <c r="F21">
        <v>4</v>
      </c>
      <c r="G21" t="s">
        <v>26</v>
      </c>
      <c r="H21">
        <v>20</v>
      </c>
      <c r="I21" s="3">
        <v>44581</v>
      </c>
    </row>
    <row r="22" spans="1:9" x14ac:dyDescent="0.25">
      <c r="A22">
        <v>21</v>
      </c>
      <c r="B22" t="s">
        <v>20</v>
      </c>
      <c r="C22">
        <v>10008</v>
      </c>
      <c r="D22" t="str">
        <f>VLOOKUP(APOCOCO5[[#This Row],[Product ID]],STORE[[#All],[Product ID]:[Product Name]],2,0)</f>
        <v>Duct Tape</v>
      </c>
      <c r="E22">
        <v>2659</v>
      </c>
      <c r="F22">
        <v>73</v>
      </c>
      <c r="G22" t="s">
        <v>26</v>
      </c>
      <c r="H22">
        <v>21</v>
      </c>
      <c r="I22" s="3">
        <v>44582</v>
      </c>
    </row>
    <row r="23" spans="1:9" x14ac:dyDescent="0.25">
      <c r="A23">
        <v>22</v>
      </c>
      <c r="B23" t="s">
        <v>17</v>
      </c>
      <c r="C23">
        <v>10005</v>
      </c>
      <c r="D23" t="str">
        <f>VLOOKUP(APOCOCO5[[#This Row],[Product ID]],STORE[[#All],[Product ID]:[Product Name]],2,0)</f>
        <v>Multitool Survivial Knife</v>
      </c>
      <c r="E23">
        <v>5020</v>
      </c>
      <c r="F23">
        <v>30</v>
      </c>
      <c r="G23" t="s">
        <v>26</v>
      </c>
      <c r="H23">
        <v>22</v>
      </c>
      <c r="I23" s="3">
        <v>44583</v>
      </c>
    </row>
    <row r="24" spans="1:9" x14ac:dyDescent="0.25">
      <c r="A24">
        <v>23</v>
      </c>
      <c r="B24" t="s">
        <v>18</v>
      </c>
      <c r="C24">
        <v>10009</v>
      </c>
      <c r="D24" t="str">
        <f>VLOOKUP(APOCOCO5[[#This Row],[Product ID]],STORE[[#All],[Product ID]:[Product Name]],2,0)</f>
        <v>Water Purifier</v>
      </c>
      <c r="E24">
        <v>3887</v>
      </c>
      <c r="F24">
        <v>49</v>
      </c>
      <c r="G24" t="s">
        <v>26</v>
      </c>
      <c r="H24">
        <v>23</v>
      </c>
      <c r="I24" s="3">
        <v>44584</v>
      </c>
    </row>
    <row r="25" spans="1:9" x14ac:dyDescent="0.25">
      <c r="A25">
        <v>24</v>
      </c>
      <c r="B25" t="s">
        <v>19</v>
      </c>
      <c r="C25">
        <v>10001</v>
      </c>
      <c r="D25" t="str">
        <f>VLOOKUP(APOCOCO5[[#This Row],[Product ID]],STORE[[#All],[Product ID]:[Product Name]],2,0)</f>
        <v>Nylon Rope</v>
      </c>
      <c r="E25">
        <v>1341</v>
      </c>
      <c r="F25">
        <v>66</v>
      </c>
      <c r="G25" t="s">
        <v>26</v>
      </c>
      <c r="H25">
        <v>24</v>
      </c>
      <c r="I25" s="3">
        <v>44585</v>
      </c>
    </row>
    <row r="26" spans="1:9" x14ac:dyDescent="0.25">
      <c r="A26">
        <v>25</v>
      </c>
      <c r="B26" t="s">
        <v>20</v>
      </c>
      <c r="C26">
        <v>10006</v>
      </c>
      <c r="D26" t="str">
        <f>VLOOKUP(APOCOCO5[[#This Row],[Product ID]],STORE[[#All],[Product ID]:[Product Name]],2,0)</f>
        <v>Solar Battery Flashlight</v>
      </c>
      <c r="E26">
        <v>8459</v>
      </c>
      <c r="F26">
        <v>4</v>
      </c>
      <c r="G26" t="s">
        <v>26</v>
      </c>
      <c r="H26">
        <v>25</v>
      </c>
      <c r="I26" s="3">
        <v>44586</v>
      </c>
    </row>
    <row r="27" spans="1:9" x14ac:dyDescent="0.25">
      <c r="A27">
        <v>26</v>
      </c>
      <c r="B27" t="s">
        <v>17</v>
      </c>
      <c r="C27">
        <v>10001</v>
      </c>
      <c r="D27" t="str">
        <f>VLOOKUP(APOCOCO5[[#This Row],[Product ID]],STORE[[#All],[Product ID]:[Product Name]],2,0)</f>
        <v>Nylon Rope</v>
      </c>
      <c r="E27">
        <v>7175</v>
      </c>
      <c r="F27">
        <v>5</v>
      </c>
      <c r="G27" t="s">
        <v>26</v>
      </c>
      <c r="H27">
        <v>26</v>
      </c>
      <c r="I27" s="3">
        <v>44587</v>
      </c>
    </row>
    <row r="28" spans="1:9" x14ac:dyDescent="0.25">
      <c r="A28">
        <v>27</v>
      </c>
      <c r="B28" t="s">
        <v>18</v>
      </c>
      <c r="C28">
        <v>10009</v>
      </c>
      <c r="D28" t="str">
        <f>VLOOKUP(APOCOCO5[[#This Row],[Product ID]],STORE[[#All],[Product ID]:[Product Name]],2,0)</f>
        <v>Water Purifier</v>
      </c>
      <c r="E28">
        <v>4267</v>
      </c>
      <c r="F28">
        <v>71</v>
      </c>
      <c r="G28" t="s">
        <v>26</v>
      </c>
      <c r="H28">
        <v>27</v>
      </c>
      <c r="I28" s="3">
        <v>44588</v>
      </c>
    </row>
    <row r="29" spans="1:9" x14ac:dyDescent="0.25">
      <c r="A29">
        <v>28</v>
      </c>
      <c r="B29" t="s">
        <v>19</v>
      </c>
      <c r="C29">
        <v>10007</v>
      </c>
      <c r="D29" t="str">
        <f>VLOOKUP(APOCOCO5[[#This Row],[Product ID]],STORE[[#All],[Product ID]:[Product Name]],2,0)</f>
        <v>Weatherproof Jacket</v>
      </c>
      <c r="E29">
        <v>1157</v>
      </c>
      <c r="F29">
        <v>57</v>
      </c>
      <c r="G29" t="s">
        <v>26</v>
      </c>
      <c r="H29">
        <v>28</v>
      </c>
      <c r="I29" s="3">
        <v>44589</v>
      </c>
    </row>
    <row r="30" spans="1:9" x14ac:dyDescent="0.25">
      <c r="A30">
        <v>29</v>
      </c>
      <c r="B30" t="s">
        <v>20</v>
      </c>
      <c r="C30">
        <v>10008</v>
      </c>
      <c r="D30" t="str">
        <f>VLOOKUP(APOCOCO5[[#This Row],[Product ID]],STORE[[#All],[Product ID]:[Product Name]],2,0)</f>
        <v>Duct Tape</v>
      </c>
      <c r="E30">
        <v>1753</v>
      </c>
      <c r="F30">
        <v>9</v>
      </c>
      <c r="G30" t="s">
        <v>26</v>
      </c>
      <c r="H30">
        <v>29</v>
      </c>
      <c r="I30" s="3">
        <v>44590</v>
      </c>
    </row>
    <row r="31" spans="1:9" x14ac:dyDescent="0.25">
      <c r="A31">
        <v>30</v>
      </c>
      <c r="B31" t="s">
        <v>17</v>
      </c>
      <c r="C31">
        <v>10006</v>
      </c>
      <c r="D31" t="str">
        <f>VLOOKUP(APOCOCO5[[#This Row],[Product ID]],STORE[[#All],[Product ID]:[Product Name]],2,0)</f>
        <v>Solar Battery Flashlight</v>
      </c>
      <c r="E31">
        <v>1913</v>
      </c>
      <c r="F31">
        <v>16</v>
      </c>
      <c r="G31" t="s">
        <v>26</v>
      </c>
      <c r="H31">
        <v>30</v>
      </c>
      <c r="I31" s="3">
        <v>44591</v>
      </c>
    </row>
    <row r="32" spans="1:9" x14ac:dyDescent="0.25">
      <c r="A32">
        <v>31</v>
      </c>
      <c r="B32" t="s">
        <v>17</v>
      </c>
      <c r="C32">
        <v>10007</v>
      </c>
      <c r="D32" t="str">
        <f>VLOOKUP(APOCOCO5[[#This Row],[Product ID]],STORE[[#All],[Product ID]:[Product Name]],2,0)</f>
        <v>Weatherproof Jacket</v>
      </c>
      <c r="E32">
        <v>4133</v>
      </c>
      <c r="F32">
        <v>46</v>
      </c>
      <c r="G32" t="s">
        <v>26</v>
      </c>
      <c r="H32">
        <v>31</v>
      </c>
      <c r="I32" s="3">
        <v>44592</v>
      </c>
    </row>
    <row r="33" spans="1:9" x14ac:dyDescent="0.25">
      <c r="A33">
        <v>32</v>
      </c>
      <c r="B33" t="s">
        <v>17</v>
      </c>
      <c r="C33">
        <v>10007</v>
      </c>
      <c r="D33" t="str">
        <f>VLOOKUP(APOCOCO5[[#This Row],[Product ID]],STORE[[#All],[Product ID]:[Product Name]],2,0)</f>
        <v>Weatherproof Jacket</v>
      </c>
      <c r="E33">
        <v>9562</v>
      </c>
      <c r="F33">
        <v>50</v>
      </c>
      <c r="G33" t="s">
        <v>27</v>
      </c>
      <c r="H33">
        <v>32</v>
      </c>
      <c r="I33" s="3">
        <v>44593</v>
      </c>
    </row>
    <row r="34" spans="1:9" x14ac:dyDescent="0.25">
      <c r="A34">
        <v>33</v>
      </c>
      <c r="B34" t="s">
        <v>18</v>
      </c>
      <c r="C34">
        <v>10008</v>
      </c>
      <c r="D34" t="str">
        <f>VLOOKUP(APOCOCO5[[#This Row],[Product ID]],STORE[[#All],[Product ID]:[Product Name]],2,0)</f>
        <v>Duct Tape</v>
      </c>
      <c r="E34">
        <v>3075</v>
      </c>
      <c r="F34">
        <v>11</v>
      </c>
      <c r="G34" t="s">
        <v>27</v>
      </c>
      <c r="H34">
        <v>33</v>
      </c>
      <c r="I34" s="3">
        <v>44594</v>
      </c>
    </row>
    <row r="35" spans="1:9" x14ac:dyDescent="0.25">
      <c r="A35">
        <v>34</v>
      </c>
      <c r="B35" t="s">
        <v>19</v>
      </c>
      <c r="C35">
        <v>10003</v>
      </c>
      <c r="D35" t="str">
        <f>VLOOKUP(APOCOCO5[[#This Row],[Product ID]],STORE[[#All],[Product ID]:[Product Name]],2,0)</f>
        <v xml:space="preserve">Stainless Steel Axe </v>
      </c>
      <c r="E35">
        <v>7854</v>
      </c>
      <c r="F35">
        <v>66</v>
      </c>
      <c r="G35" t="s">
        <v>27</v>
      </c>
      <c r="H35">
        <v>34</v>
      </c>
      <c r="I35" s="3">
        <v>44595</v>
      </c>
    </row>
    <row r="36" spans="1:9" x14ac:dyDescent="0.25">
      <c r="A36">
        <v>35</v>
      </c>
      <c r="B36" t="s">
        <v>20</v>
      </c>
      <c r="C36">
        <v>10005</v>
      </c>
      <c r="D36" t="str">
        <f>VLOOKUP(APOCOCO5[[#This Row],[Product ID]],STORE[[#All],[Product ID]:[Product Name]],2,0)</f>
        <v>Multitool Survivial Knife</v>
      </c>
      <c r="E36">
        <v>9057</v>
      </c>
      <c r="F36">
        <v>55</v>
      </c>
      <c r="G36" t="s">
        <v>27</v>
      </c>
      <c r="H36">
        <v>35</v>
      </c>
      <c r="I36" s="3">
        <v>44596</v>
      </c>
    </row>
    <row r="37" spans="1:9" x14ac:dyDescent="0.25">
      <c r="A37">
        <v>36</v>
      </c>
      <c r="B37" t="s">
        <v>17</v>
      </c>
      <c r="C37">
        <v>10002</v>
      </c>
      <c r="D37" t="str">
        <f>VLOOKUP(APOCOCO5[[#This Row],[Product ID]],STORE[[#All],[Product ID]:[Product Name]],2,0)</f>
        <v>Waterproof Matches</v>
      </c>
      <c r="E37">
        <v>5779</v>
      </c>
      <c r="F37">
        <v>32</v>
      </c>
      <c r="G37" t="s">
        <v>27</v>
      </c>
      <c r="H37">
        <v>36</v>
      </c>
      <c r="I37" s="3">
        <v>44597</v>
      </c>
    </row>
    <row r="38" spans="1:9" x14ac:dyDescent="0.25">
      <c r="A38">
        <v>37</v>
      </c>
      <c r="B38" t="s">
        <v>18</v>
      </c>
      <c r="C38">
        <v>10001</v>
      </c>
      <c r="D38" t="str">
        <f>VLOOKUP(APOCOCO5[[#This Row],[Product ID]],STORE[[#All],[Product ID]:[Product Name]],2,0)</f>
        <v>Nylon Rope</v>
      </c>
      <c r="E38">
        <v>3587</v>
      </c>
      <c r="F38">
        <v>48</v>
      </c>
      <c r="G38" t="s">
        <v>27</v>
      </c>
      <c r="H38">
        <v>37</v>
      </c>
      <c r="I38" s="3">
        <v>44598</v>
      </c>
    </row>
    <row r="39" spans="1:9" x14ac:dyDescent="0.25">
      <c r="A39">
        <v>38</v>
      </c>
      <c r="B39" t="s">
        <v>19</v>
      </c>
      <c r="C39">
        <v>10007</v>
      </c>
      <c r="D39" t="str">
        <f>VLOOKUP(APOCOCO5[[#This Row],[Product ID]],STORE[[#All],[Product ID]:[Product Name]],2,0)</f>
        <v>Weatherproof Jacket</v>
      </c>
      <c r="E39">
        <v>3718</v>
      </c>
      <c r="F39">
        <v>58</v>
      </c>
      <c r="G39" t="s">
        <v>27</v>
      </c>
      <c r="H39">
        <v>38</v>
      </c>
      <c r="I39" s="3">
        <v>44599</v>
      </c>
    </row>
    <row r="40" spans="1:9" x14ac:dyDescent="0.25">
      <c r="A40">
        <v>39</v>
      </c>
      <c r="B40" t="s">
        <v>20</v>
      </c>
      <c r="C40">
        <v>10005</v>
      </c>
      <c r="D40" t="str">
        <f>VLOOKUP(APOCOCO5[[#This Row],[Product ID]],STORE[[#All],[Product ID]:[Product Name]],2,0)</f>
        <v>Multitool Survivial Knife</v>
      </c>
      <c r="E40">
        <v>1875</v>
      </c>
      <c r="F40">
        <v>19</v>
      </c>
      <c r="G40" t="s">
        <v>27</v>
      </c>
      <c r="H40">
        <v>39</v>
      </c>
      <c r="I40" s="3">
        <v>44600</v>
      </c>
    </row>
    <row r="41" spans="1:9" x14ac:dyDescent="0.25">
      <c r="A41">
        <v>40</v>
      </c>
      <c r="B41" t="s">
        <v>17</v>
      </c>
      <c r="C41">
        <v>10005</v>
      </c>
      <c r="D41" t="str">
        <f>VLOOKUP(APOCOCO5[[#This Row],[Product ID]],STORE[[#All],[Product ID]:[Product Name]],2,0)</f>
        <v>Multitool Survivial Knife</v>
      </c>
      <c r="E41">
        <v>8526</v>
      </c>
      <c r="F41">
        <v>54</v>
      </c>
      <c r="G41" t="s">
        <v>27</v>
      </c>
      <c r="H41">
        <v>40</v>
      </c>
      <c r="I41" s="3">
        <v>44601</v>
      </c>
    </row>
    <row r="42" spans="1:9" x14ac:dyDescent="0.25">
      <c r="A42">
        <v>41</v>
      </c>
      <c r="B42" t="s">
        <v>18</v>
      </c>
      <c r="C42">
        <v>10010</v>
      </c>
      <c r="D42" t="str">
        <f>VLOOKUP(APOCOCO5[[#This Row],[Product ID]],STORE[[#All],[Product ID]:[Product Name]],2,0)</f>
        <v>N95 Mask</v>
      </c>
      <c r="E42">
        <v>7274</v>
      </c>
      <c r="F42">
        <v>60</v>
      </c>
      <c r="G42" t="s">
        <v>27</v>
      </c>
      <c r="H42">
        <v>41</v>
      </c>
      <c r="I42" s="3">
        <v>44602</v>
      </c>
    </row>
    <row r="43" spans="1:9" x14ac:dyDescent="0.25">
      <c r="A43">
        <v>42</v>
      </c>
      <c r="B43" t="s">
        <v>19</v>
      </c>
      <c r="C43">
        <v>10003</v>
      </c>
      <c r="D43" t="str">
        <f>VLOOKUP(APOCOCO5[[#This Row],[Product ID]],STORE[[#All],[Product ID]:[Product Name]],2,0)</f>
        <v xml:space="preserve">Stainless Steel Axe </v>
      </c>
      <c r="E43">
        <v>4500</v>
      </c>
      <c r="F43">
        <v>19</v>
      </c>
      <c r="G43" t="s">
        <v>27</v>
      </c>
      <c r="H43">
        <v>42</v>
      </c>
      <c r="I43" s="3">
        <v>44603</v>
      </c>
    </row>
    <row r="44" spans="1:9" x14ac:dyDescent="0.25">
      <c r="A44">
        <v>43</v>
      </c>
      <c r="B44" t="s">
        <v>20</v>
      </c>
      <c r="C44">
        <v>10004</v>
      </c>
      <c r="D44" t="str">
        <f>VLOOKUP(APOCOCO5[[#This Row],[Product ID]],STORE[[#All],[Product ID]:[Product Name]],2,0)</f>
        <v>Backpack</v>
      </c>
      <c r="E44">
        <v>3789</v>
      </c>
      <c r="F44">
        <v>4</v>
      </c>
      <c r="G44" t="s">
        <v>27</v>
      </c>
      <c r="H44">
        <v>43</v>
      </c>
      <c r="I44" s="3">
        <v>44604</v>
      </c>
    </row>
    <row r="45" spans="1:9" x14ac:dyDescent="0.25">
      <c r="A45">
        <v>44</v>
      </c>
      <c r="B45" t="s">
        <v>17</v>
      </c>
      <c r="C45">
        <v>10010</v>
      </c>
      <c r="D45" t="str">
        <f>VLOOKUP(APOCOCO5[[#This Row],[Product ID]],STORE[[#All],[Product ID]:[Product Name]],2,0)</f>
        <v>N95 Mask</v>
      </c>
      <c r="E45">
        <v>3665</v>
      </c>
      <c r="F45">
        <v>76</v>
      </c>
      <c r="G45" t="s">
        <v>27</v>
      </c>
      <c r="H45">
        <v>44</v>
      </c>
      <c r="I45" s="3">
        <v>44605</v>
      </c>
    </row>
    <row r="46" spans="1:9" x14ac:dyDescent="0.25">
      <c r="A46">
        <v>45</v>
      </c>
      <c r="B46" t="s">
        <v>18</v>
      </c>
      <c r="C46">
        <v>10006</v>
      </c>
      <c r="D46" t="str">
        <f>VLOOKUP(APOCOCO5[[#This Row],[Product ID]],STORE[[#All],[Product ID]:[Product Name]],2,0)</f>
        <v>Solar Battery Flashlight</v>
      </c>
      <c r="E46">
        <v>9760</v>
      </c>
      <c r="F46">
        <v>26</v>
      </c>
      <c r="G46" t="s">
        <v>27</v>
      </c>
      <c r="H46">
        <v>45</v>
      </c>
      <c r="I46" s="3">
        <v>44606</v>
      </c>
    </row>
    <row r="47" spans="1:9" x14ac:dyDescent="0.25">
      <c r="A47">
        <v>46</v>
      </c>
      <c r="B47" t="s">
        <v>19</v>
      </c>
      <c r="C47">
        <v>10003</v>
      </c>
      <c r="D47" t="str">
        <f>VLOOKUP(APOCOCO5[[#This Row],[Product ID]],STORE[[#All],[Product ID]:[Product Name]],2,0)</f>
        <v xml:space="preserve">Stainless Steel Axe </v>
      </c>
      <c r="E47">
        <v>5432</v>
      </c>
      <c r="F47">
        <v>35</v>
      </c>
      <c r="G47" t="s">
        <v>27</v>
      </c>
      <c r="H47">
        <v>46</v>
      </c>
      <c r="I47" s="3">
        <v>44607</v>
      </c>
    </row>
    <row r="48" spans="1:9" x14ac:dyDescent="0.25">
      <c r="A48">
        <v>47</v>
      </c>
      <c r="B48" t="s">
        <v>20</v>
      </c>
      <c r="C48">
        <v>10008</v>
      </c>
      <c r="D48" t="str">
        <f>VLOOKUP(APOCOCO5[[#This Row],[Product ID]],STORE[[#All],[Product ID]:[Product Name]],2,0)</f>
        <v>Duct Tape</v>
      </c>
      <c r="E48">
        <v>6035</v>
      </c>
      <c r="F48">
        <v>67</v>
      </c>
      <c r="G48" t="s">
        <v>27</v>
      </c>
      <c r="H48">
        <v>47</v>
      </c>
      <c r="I48" s="3">
        <v>44608</v>
      </c>
    </row>
    <row r="49" spans="1:9" x14ac:dyDescent="0.25">
      <c r="A49">
        <v>48</v>
      </c>
      <c r="B49" t="s">
        <v>17</v>
      </c>
      <c r="C49">
        <v>10003</v>
      </c>
      <c r="D49" t="str">
        <f>VLOOKUP(APOCOCO5[[#This Row],[Product ID]],STORE[[#All],[Product ID]:[Product Name]],2,0)</f>
        <v xml:space="preserve">Stainless Steel Axe </v>
      </c>
      <c r="E49">
        <v>3522</v>
      </c>
      <c r="F49">
        <v>27</v>
      </c>
      <c r="G49" t="s">
        <v>27</v>
      </c>
      <c r="H49">
        <v>48</v>
      </c>
      <c r="I49" s="3">
        <v>44609</v>
      </c>
    </row>
    <row r="50" spans="1:9" x14ac:dyDescent="0.25">
      <c r="A50">
        <v>49</v>
      </c>
      <c r="B50" t="s">
        <v>18</v>
      </c>
      <c r="C50">
        <v>10007</v>
      </c>
      <c r="D50" t="str">
        <f>VLOOKUP(APOCOCO5[[#This Row],[Product ID]],STORE[[#All],[Product ID]:[Product Name]],2,0)</f>
        <v>Weatherproof Jacket</v>
      </c>
      <c r="E50">
        <v>9305</v>
      </c>
      <c r="F50">
        <v>6</v>
      </c>
      <c r="G50" t="s">
        <v>27</v>
      </c>
      <c r="H50">
        <v>49</v>
      </c>
      <c r="I50" s="3">
        <v>44610</v>
      </c>
    </row>
    <row r="51" spans="1:9" x14ac:dyDescent="0.25">
      <c r="A51">
        <v>50</v>
      </c>
      <c r="B51" t="s">
        <v>19</v>
      </c>
      <c r="C51">
        <v>10005</v>
      </c>
      <c r="D51" t="str">
        <f>VLOOKUP(APOCOCO5[[#This Row],[Product ID]],STORE[[#All],[Product ID]:[Product Name]],2,0)</f>
        <v>Multitool Survivial Knife</v>
      </c>
      <c r="E51">
        <v>1436</v>
      </c>
      <c r="F51">
        <v>41</v>
      </c>
      <c r="G51" t="s">
        <v>27</v>
      </c>
      <c r="H51">
        <v>50</v>
      </c>
      <c r="I51" s="3">
        <v>44611</v>
      </c>
    </row>
    <row r="52" spans="1:9" x14ac:dyDescent="0.25">
      <c r="A52">
        <v>51</v>
      </c>
      <c r="B52" t="s">
        <v>20</v>
      </c>
      <c r="C52">
        <v>10008</v>
      </c>
      <c r="D52" t="str">
        <f>VLOOKUP(APOCOCO5[[#This Row],[Product ID]],STORE[[#All],[Product ID]:[Product Name]],2,0)</f>
        <v>Duct Tape</v>
      </c>
      <c r="E52">
        <v>9814</v>
      </c>
      <c r="F52">
        <v>36</v>
      </c>
      <c r="G52" t="s">
        <v>27</v>
      </c>
      <c r="H52">
        <v>51</v>
      </c>
      <c r="I52" s="3">
        <v>44612</v>
      </c>
    </row>
    <row r="53" spans="1:9" x14ac:dyDescent="0.25">
      <c r="A53">
        <v>52</v>
      </c>
      <c r="B53" t="s">
        <v>17</v>
      </c>
      <c r="C53">
        <v>10008</v>
      </c>
      <c r="D53" t="str">
        <f>VLOOKUP(APOCOCO5[[#This Row],[Product ID]],STORE[[#All],[Product ID]:[Product Name]],2,0)</f>
        <v>Duct Tape</v>
      </c>
      <c r="E53">
        <v>8032</v>
      </c>
      <c r="F53">
        <v>75</v>
      </c>
      <c r="G53" t="s">
        <v>27</v>
      </c>
      <c r="H53">
        <v>52</v>
      </c>
      <c r="I53" s="3">
        <v>44613</v>
      </c>
    </row>
    <row r="54" spans="1:9" x14ac:dyDescent="0.25">
      <c r="A54">
        <v>53</v>
      </c>
      <c r="B54" t="s">
        <v>18</v>
      </c>
      <c r="C54">
        <v>10008</v>
      </c>
      <c r="D54" t="str">
        <f>VLOOKUP(APOCOCO5[[#This Row],[Product ID]],STORE[[#All],[Product ID]:[Product Name]],2,0)</f>
        <v>Duct Tape</v>
      </c>
      <c r="E54">
        <v>7580</v>
      </c>
      <c r="F54">
        <v>32</v>
      </c>
      <c r="G54" t="s">
        <v>27</v>
      </c>
      <c r="H54">
        <v>53</v>
      </c>
      <c r="I54" s="3">
        <v>44614</v>
      </c>
    </row>
    <row r="55" spans="1:9" x14ac:dyDescent="0.25">
      <c r="A55">
        <v>54</v>
      </c>
      <c r="B55" t="s">
        <v>19</v>
      </c>
      <c r="C55">
        <v>10003</v>
      </c>
      <c r="D55" t="str">
        <f>VLOOKUP(APOCOCO5[[#This Row],[Product ID]],STORE[[#All],[Product ID]:[Product Name]],2,0)</f>
        <v xml:space="preserve">Stainless Steel Axe </v>
      </c>
      <c r="E55">
        <v>5730</v>
      </c>
      <c r="F55">
        <v>42</v>
      </c>
      <c r="G55" t="s">
        <v>27</v>
      </c>
      <c r="H55">
        <v>54</v>
      </c>
      <c r="I55" s="3">
        <v>44615</v>
      </c>
    </row>
    <row r="56" spans="1:9" x14ac:dyDescent="0.25">
      <c r="A56">
        <v>55</v>
      </c>
      <c r="B56" t="s">
        <v>20</v>
      </c>
      <c r="C56">
        <v>10010</v>
      </c>
      <c r="D56" t="str">
        <f>VLOOKUP(APOCOCO5[[#This Row],[Product ID]],STORE[[#All],[Product ID]:[Product Name]],2,0)</f>
        <v>N95 Mask</v>
      </c>
      <c r="E56">
        <v>5818</v>
      </c>
      <c r="F56">
        <v>5</v>
      </c>
      <c r="G56" t="s">
        <v>27</v>
      </c>
      <c r="H56">
        <v>55</v>
      </c>
      <c r="I56" s="3">
        <v>44616</v>
      </c>
    </row>
    <row r="57" spans="1:9" x14ac:dyDescent="0.25">
      <c r="A57">
        <v>56</v>
      </c>
      <c r="B57" t="s">
        <v>17</v>
      </c>
      <c r="C57">
        <v>10010</v>
      </c>
      <c r="D57" t="str">
        <f>VLOOKUP(APOCOCO5[[#This Row],[Product ID]],STORE[[#All],[Product ID]:[Product Name]],2,0)</f>
        <v>N95 Mask</v>
      </c>
      <c r="E57">
        <v>2462</v>
      </c>
      <c r="F57">
        <v>10</v>
      </c>
      <c r="G57" t="s">
        <v>27</v>
      </c>
      <c r="H57">
        <v>56</v>
      </c>
      <c r="I57" s="3">
        <v>44617</v>
      </c>
    </row>
    <row r="58" spans="1:9" x14ac:dyDescent="0.25">
      <c r="A58">
        <v>57</v>
      </c>
      <c r="B58" t="s">
        <v>18</v>
      </c>
      <c r="C58">
        <v>10001</v>
      </c>
      <c r="D58" t="str">
        <f>VLOOKUP(APOCOCO5[[#This Row],[Product ID]],STORE[[#All],[Product ID]:[Product Name]],2,0)</f>
        <v>Nylon Rope</v>
      </c>
      <c r="E58">
        <v>5989</v>
      </c>
      <c r="F58">
        <v>70</v>
      </c>
      <c r="G58" t="s">
        <v>27</v>
      </c>
      <c r="H58">
        <v>57</v>
      </c>
      <c r="I58" s="3">
        <v>44618</v>
      </c>
    </row>
    <row r="59" spans="1:9" x14ac:dyDescent="0.25">
      <c r="A59">
        <v>58</v>
      </c>
      <c r="B59" t="s">
        <v>19</v>
      </c>
      <c r="C59">
        <v>10002</v>
      </c>
      <c r="D59" t="str">
        <f>VLOOKUP(APOCOCO5[[#This Row],[Product ID]],STORE[[#All],[Product ID]:[Product Name]],2,0)</f>
        <v>Waterproof Matches</v>
      </c>
      <c r="E59">
        <v>6153</v>
      </c>
      <c r="F59">
        <v>45</v>
      </c>
      <c r="G59" t="s">
        <v>27</v>
      </c>
      <c r="H59">
        <v>58</v>
      </c>
      <c r="I59" s="3">
        <v>44619</v>
      </c>
    </row>
    <row r="60" spans="1:9" x14ac:dyDescent="0.25">
      <c r="A60">
        <v>59</v>
      </c>
      <c r="B60" t="s">
        <v>20</v>
      </c>
      <c r="C60">
        <v>10006</v>
      </c>
      <c r="D60" t="str">
        <f>VLOOKUP(APOCOCO5[[#This Row],[Product ID]],STORE[[#All],[Product ID]:[Product Name]],2,0)</f>
        <v>Solar Battery Flashlight</v>
      </c>
      <c r="E60">
        <v>4606</v>
      </c>
      <c r="F60">
        <v>53</v>
      </c>
      <c r="G60" t="s">
        <v>27</v>
      </c>
      <c r="H60">
        <v>59</v>
      </c>
      <c r="I60" s="3">
        <v>44620</v>
      </c>
    </row>
    <row r="61" spans="1:9" x14ac:dyDescent="0.25">
      <c r="A61">
        <v>60</v>
      </c>
      <c r="B61" t="s">
        <v>17</v>
      </c>
      <c r="C61">
        <v>10010</v>
      </c>
      <c r="D61" t="str">
        <f>VLOOKUP(APOCOCO5[[#This Row],[Product ID]],STORE[[#All],[Product ID]:[Product Name]],2,0)</f>
        <v>N95 Mask</v>
      </c>
      <c r="E61">
        <v>2059</v>
      </c>
      <c r="F61">
        <v>54</v>
      </c>
      <c r="G61" t="s">
        <v>28</v>
      </c>
      <c r="H61">
        <v>60</v>
      </c>
      <c r="I61" s="3">
        <v>44621</v>
      </c>
    </row>
    <row r="62" spans="1:9" x14ac:dyDescent="0.25">
      <c r="A62">
        <v>61</v>
      </c>
      <c r="B62" t="s">
        <v>18</v>
      </c>
      <c r="C62">
        <v>10003</v>
      </c>
      <c r="D62" t="str">
        <f>VLOOKUP(APOCOCO5[[#This Row],[Product ID]],STORE[[#All],[Product ID]:[Product Name]],2,0)</f>
        <v xml:space="preserve">Stainless Steel Axe </v>
      </c>
      <c r="E62">
        <v>8063</v>
      </c>
      <c r="F62">
        <v>26</v>
      </c>
      <c r="G62" t="s">
        <v>28</v>
      </c>
      <c r="H62">
        <v>61</v>
      </c>
      <c r="I62" s="3">
        <v>44622</v>
      </c>
    </row>
    <row r="63" spans="1:9" x14ac:dyDescent="0.25">
      <c r="A63">
        <v>62</v>
      </c>
      <c r="B63" t="s">
        <v>19</v>
      </c>
      <c r="C63">
        <v>10005</v>
      </c>
      <c r="D63" t="str">
        <f>VLOOKUP(APOCOCO5[[#This Row],[Product ID]],STORE[[#All],[Product ID]:[Product Name]],2,0)</f>
        <v>Multitool Survivial Knife</v>
      </c>
      <c r="E63">
        <v>4266</v>
      </c>
      <c r="F63">
        <v>41</v>
      </c>
      <c r="G63" t="s">
        <v>28</v>
      </c>
      <c r="H63">
        <v>62</v>
      </c>
      <c r="I63" s="3">
        <v>44623</v>
      </c>
    </row>
    <row r="64" spans="1:9" x14ac:dyDescent="0.25">
      <c r="A64">
        <v>63</v>
      </c>
      <c r="B64" t="s">
        <v>20</v>
      </c>
      <c r="C64">
        <v>10002</v>
      </c>
      <c r="D64" t="str">
        <f>VLOOKUP(APOCOCO5[[#This Row],[Product ID]],STORE[[#All],[Product ID]:[Product Name]],2,0)</f>
        <v>Waterproof Matches</v>
      </c>
      <c r="E64">
        <v>7615</v>
      </c>
      <c r="F64">
        <v>54</v>
      </c>
      <c r="G64" t="s">
        <v>28</v>
      </c>
      <c r="H64">
        <v>63</v>
      </c>
      <c r="I64" s="3">
        <v>44624</v>
      </c>
    </row>
    <row r="65" spans="1:9" x14ac:dyDescent="0.25">
      <c r="A65">
        <v>64</v>
      </c>
      <c r="B65" t="s">
        <v>17</v>
      </c>
      <c r="C65">
        <v>10004</v>
      </c>
      <c r="D65" t="str">
        <f>VLOOKUP(APOCOCO5[[#This Row],[Product ID]],STORE[[#All],[Product ID]:[Product Name]],2,0)</f>
        <v>Backpack</v>
      </c>
      <c r="E65">
        <v>4859</v>
      </c>
      <c r="F65">
        <v>55</v>
      </c>
      <c r="G65" t="s">
        <v>28</v>
      </c>
      <c r="H65">
        <v>64</v>
      </c>
      <c r="I65" s="3">
        <v>44625</v>
      </c>
    </row>
    <row r="66" spans="1:9" x14ac:dyDescent="0.25">
      <c r="A66">
        <v>65</v>
      </c>
      <c r="B66" t="s">
        <v>19</v>
      </c>
      <c r="C66">
        <v>10001</v>
      </c>
      <c r="D66" t="str">
        <f>VLOOKUP(APOCOCO5[[#This Row],[Product ID]],STORE[[#All],[Product ID]:[Product Name]],2,0)</f>
        <v>Nylon Rope</v>
      </c>
      <c r="E66">
        <v>7625</v>
      </c>
      <c r="F66">
        <v>17</v>
      </c>
      <c r="G66" t="s">
        <v>28</v>
      </c>
      <c r="H66">
        <v>65</v>
      </c>
      <c r="I66" s="3">
        <v>44626</v>
      </c>
    </row>
    <row r="67" spans="1:9" x14ac:dyDescent="0.25">
      <c r="A67">
        <v>66</v>
      </c>
      <c r="B67" t="s">
        <v>17</v>
      </c>
      <c r="C67">
        <v>10004</v>
      </c>
      <c r="D67" t="str">
        <f>VLOOKUP(APOCOCO5[[#This Row],[Product ID]],STORE[[#All],[Product ID]:[Product Name]],2,0)</f>
        <v>Backpack</v>
      </c>
      <c r="E67">
        <v>9996</v>
      </c>
      <c r="F67">
        <v>23</v>
      </c>
      <c r="G67" t="s">
        <v>28</v>
      </c>
      <c r="H67">
        <v>66</v>
      </c>
      <c r="I67" s="3">
        <v>44627</v>
      </c>
    </row>
    <row r="68" spans="1:9" x14ac:dyDescent="0.25">
      <c r="A68">
        <v>67</v>
      </c>
      <c r="B68" t="s">
        <v>19</v>
      </c>
      <c r="C68">
        <v>10001</v>
      </c>
      <c r="D68" t="str">
        <f>VLOOKUP(APOCOCO5[[#This Row],[Product ID]],STORE[[#All],[Product ID]:[Product Name]],2,0)</f>
        <v>Nylon Rope</v>
      </c>
      <c r="E68">
        <v>6646</v>
      </c>
      <c r="F68">
        <v>48</v>
      </c>
      <c r="G68" t="s">
        <v>28</v>
      </c>
      <c r="H68">
        <v>67</v>
      </c>
      <c r="I68" s="3">
        <v>44628</v>
      </c>
    </row>
    <row r="69" spans="1:9" x14ac:dyDescent="0.25">
      <c r="A69">
        <v>68</v>
      </c>
      <c r="B69" t="s">
        <v>18</v>
      </c>
      <c r="C69">
        <v>10004</v>
      </c>
      <c r="D69" t="str">
        <f>VLOOKUP(APOCOCO5[[#This Row],[Product ID]],STORE[[#All],[Product ID]:[Product Name]],2,0)</f>
        <v>Backpack</v>
      </c>
      <c r="E69">
        <v>8427</v>
      </c>
      <c r="F69">
        <v>61</v>
      </c>
      <c r="G69" t="s">
        <v>28</v>
      </c>
      <c r="H69">
        <v>68</v>
      </c>
      <c r="I69" s="3">
        <v>44629</v>
      </c>
    </row>
    <row r="70" spans="1:9" x14ac:dyDescent="0.25">
      <c r="A70">
        <v>69</v>
      </c>
      <c r="B70" t="s">
        <v>19</v>
      </c>
      <c r="C70">
        <v>10010</v>
      </c>
      <c r="D70" t="str">
        <f>VLOOKUP(APOCOCO5[[#This Row],[Product ID]],STORE[[#All],[Product ID]:[Product Name]],2,0)</f>
        <v>N95 Mask</v>
      </c>
      <c r="E70">
        <v>2923</v>
      </c>
      <c r="F70">
        <v>23</v>
      </c>
      <c r="G70" t="s">
        <v>28</v>
      </c>
      <c r="H70">
        <v>69</v>
      </c>
      <c r="I70" s="3">
        <v>44630</v>
      </c>
    </row>
    <row r="71" spans="1:9" x14ac:dyDescent="0.25">
      <c r="A71">
        <v>70</v>
      </c>
      <c r="B71" t="s">
        <v>20</v>
      </c>
      <c r="C71">
        <v>10007</v>
      </c>
      <c r="D71" t="str">
        <f>VLOOKUP(APOCOCO5[[#This Row],[Product ID]],STORE[[#All],[Product ID]:[Product Name]],2,0)</f>
        <v>Weatherproof Jacket</v>
      </c>
      <c r="E71">
        <v>6624</v>
      </c>
      <c r="F71">
        <v>41</v>
      </c>
      <c r="G71" t="s">
        <v>28</v>
      </c>
      <c r="H71">
        <v>70</v>
      </c>
      <c r="I71" s="3">
        <v>44631</v>
      </c>
    </row>
    <row r="72" spans="1:9" x14ac:dyDescent="0.25">
      <c r="A72">
        <v>71</v>
      </c>
      <c r="B72" t="s">
        <v>17</v>
      </c>
      <c r="C72">
        <v>10009</v>
      </c>
      <c r="D72" t="str">
        <f>VLOOKUP(APOCOCO5[[#This Row],[Product ID]],STORE[[#All],[Product ID]:[Product Name]],2,0)</f>
        <v>Water Purifier</v>
      </c>
      <c r="E72">
        <v>4952</v>
      </c>
      <c r="F72">
        <v>37</v>
      </c>
      <c r="G72" t="s">
        <v>28</v>
      </c>
      <c r="H72">
        <v>71</v>
      </c>
      <c r="I72" s="3">
        <v>44632</v>
      </c>
    </row>
    <row r="73" spans="1:9" x14ac:dyDescent="0.25">
      <c r="A73">
        <v>72</v>
      </c>
      <c r="B73" t="s">
        <v>19</v>
      </c>
      <c r="C73">
        <v>10005</v>
      </c>
      <c r="D73" t="str">
        <f>VLOOKUP(APOCOCO5[[#This Row],[Product ID]],STORE[[#All],[Product ID]:[Product Name]],2,0)</f>
        <v>Multitool Survivial Knife</v>
      </c>
      <c r="E73">
        <v>9881</v>
      </c>
      <c r="F73">
        <v>24</v>
      </c>
      <c r="G73" t="s">
        <v>28</v>
      </c>
      <c r="H73">
        <v>72</v>
      </c>
      <c r="I73" s="3">
        <v>44633</v>
      </c>
    </row>
    <row r="74" spans="1:9" x14ac:dyDescent="0.25">
      <c r="A74">
        <v>73</v>
      </c>
      <c r="B74" t="s">
        <v>17</v>
      </c>
      <c r="C74">
        <v>10002</v>
      </c>
      <c r="D74" t="str">
        <f>VLOOKUP(APOCOCO5[[#This Row],[Product ID]],STORE[[#All],[Product ID]:[Product Name]],2,0)</f>
        <v>Waterproof Matches</v>
      </c>
      <c r="E74">
        <v>4464</v>
      </c>
      <c r="F74">
        <v>59</v>
      </c>
      <c r="G74" t="s">
        <v>28</v>
      </c>
      <c r="H74">
        <v>73</v>
      </c>
      <c r="I74" s="3">
        <v>44634</v>
      </c>
    </row>
    <row r="75" spans="1:9" x14ac:dyDescent="0.25">
      <c r="A75">
        <v>74</v>
      </c>
      <c r="B75" t="s">
        <v>19</v>
      </c>
      <c r="C75">
        <v>10001</v>
      </c>
      <c r="D75" t="str">
        <f>VLOOKUP(APOCOCO5[[#This Row],[Product ID]],STORE[[#All],[Product ID]:[Product Name]],2,0)</f>
        <v>Nylon Rope</v>
      </c>
      <c r="E75">
        <v>2005</v>
      </c>
      <c r="F75">
        <v>46</v>
      </c>
      <c r="G75" t="s">
        <v>28</v>
      </c>
      <c r="H75">
        <v>74</v>
      </c>
      <c r="I75" s="3">
        <v>44635</v>
      </c>
    </row>
  </sheetData>
  <conditionalFormatting sqref="E1:E75">
    <cfRule type="duplicateValues" dxfId="2"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75"/>
  <sheetViews>
    <sheetView workbookViewId="0">
      <selection activeCell="O30" sqref="O30"/>
    </sheetView>
  </sheetViews>
  <sheetFormatPr defaultRowHeight="15" x14ac:dyDescent="0.25"/>
  <cols>
    <col min="2" max="2" width="38.85546875" bestFit="1" customWidth="1"/>
    <col min="3" max="3" width="23.85546875" bestFit="1" customWidth="1"/>
    <col min="9" max="9" width="14.85546875" bestFit="1" customWidth="1"/>
    <col min="12" max="12" width="32.28515625" bestFit="1" customWidth="1"/>
    <col min="13" max="13" width="22.85546875" bestFit="1" customWidth="1"/>
    <col min="14" max="14" width="11.5703125" customWidth="1"/>
    <col min="20" max="20" width="35.28515625" bestFit="1" customWidth="1"/>
  </cols>
  <sheetData>
    <row r="1" spans="1:24" x14ac:dyDescent="0.25">
      <c r="A1" t="s">
        <v>22</v>
      </c>
      <c r="B1" t="s">
        <v>2</v>
      </c>
      <c r="C1" t="s">
        <v>24</v>
      </c>
      <c r="L1" t="s">
        <v>34</v>
      </c>
      <c r="M1" t="s">
        <v>29</v>
      </c>
      <c r="N1" t="s">
        <v>5</v>
      </c>
      <c r="S1">
        <v>3</v>
      </c>
      <c r="T1" t="s">
        <v>34</v>
      </c>
    </row>
    <row r="2" spans="1:24" x14ac:dyDescent="0.25">
      <c r="A2">
        <v>1</v>
      </c>
      <c r="B2" t="s">
        <v>36</v>
      </c>
      <c r="L2" t="s">
        <v>17</v>
      </c>
      <c r="M2" t="str">
        <f>VLOOKUP(APOCOCO[[#This Row],[Product ID]],STORE[[#All],[Product ID]:[Product Name]],2,0)</f>
        <v>Solar Battery Flashlight</v>
      </c>
      <c r="N2">
        <v>32</v>
      </c>
    </row>
    <row r="3" spans="1:24" x14ac:dyDescent="0.25">
      <c r="B3" t="s">
        <v>17</v>
      </c>
      <c r="C3">
        <f>COUNTIF(APOCOCO[Customer],B3)</f>
        <v>22</v>
      </c>
      <c r="L3" t="s">
        <v>18</v>
      </c>
      <c r="M3" t="str">
        <f>VLOOKUP(APOCOCO[[#This Row],[Product ID]],STORE[[#All],[Product ID]:[Product Name]],2,0)</f>
        <v>Multitool Survivial Knife</v>
      </c>
      <c r="N3">
        <v>68</v>
      </c>
      <c r="T3" t="s">
        <v>17</v>
      </c>
      <c r="X3">
        <f>SUMIF(APOCOCO[product name],M2,APOCOCO[Units Sold])</f>
        <v>182</v>
      </c>
    </row>
    <row r="4" spans="1:24" x14ac:dyDescent="0.25">
      <c r="B4" t="s">
        <v>18</v>
      </c>
      <c r="C4">
        <f>COUNTIF(APOCOCO[Customer],B4)</f>
        <v>16</v>
      </c>
      <c r="L4" t="s">
        <v>19</v>
      </c>
      <c r="M4" t="str">
        <f>VLOOKUP(APOCOCO[[#This Row],[Product ID]],STORE[[#All],[Product ID]:[Product Name]],2,0)</f>
        <v>Backpack</v>
      </c>
      <c r="N4">
        <v>69</v>
      </c>
      <c r="T4" t="s">
        <v>18</v>
      </c>
      <c r="X4">
        <f>SUMIF(APOCOCO[product name],M3,APOCOCO[Units Sold])</f>
        <v>477</v>
      </c>
    </row>
    <row r="5" spans="1:24" x14ac:dyDescent="0.25">
      <c r="B5" t="s">
        <v>19</v>
      </c>
      <c r="C5">
        <f>COUNTIF(APOCOCO[Customer],B5)</f>
        <v>20</v>
      </c>
      <c r="L5" t="s">
        <v>20</v>
      </c>
      <c r="M5" t="str">
        <f>VLOOKUP(APOCOCO[[#This Row],[Product ID]],STORE[[#All],[Product ID]:[Product Name]],2,0)</f>
        <v>Multitool Survivial Knife</v>
      </c>
      <c r="N5">
        <v>48</v>
      </c>
      <c r="T5" t="s">
        <v>19</v>
      </c>
      <c r="X5">
        <f>SUMIF(APOCOCO[product name],M4,APOCOCO[Units Sold])</f>
        <v>212</v>
      </c>
    </row>
    <row r="6" spans="1:24" x14ac:dyDescent="0.25">
      <c r="B6" t="s">
        <v>20</v>
      </c>
      <c r="C6">
        <f>COUNTIF(APOCOCO[Customer],B6)</f>
        <v>16</v>
      </c>
      <c r="L6" t="s">
        <v>17</v>
      </c>
      <c r="M6" t="str">
        <f>VLOOKUP(APOCOCO[[#This Row],[Product ID]],STORE[[#All],[Product ID]:[Product Name]],2,0)</f>
        <v>N95 Mask</v>
      </c>
      <c r="N6">
        <v>70</v>
      </c>
      <c r="T6" t="s">
        <v>20</v>
      </c>
      <c r="X6">
        <f>SUMIF(APOCOCO[product name],M5,APOCOCO[Units Sold])</f>
        <v>477</v>
      </c>
    </row>
    <row r="7" spans="1:24" x14ac:dyDescent="0.25">
      <c r="L7" t="s">
        <v>18</v>
      </c>
      <c r="M7" t="str">
        <f>VLOOKUP(APOCOCO[[#This Row],[Product ID]],STORE[[#All],[Product ID]:[Product Name]],2,0)</f>
        <v>Duct Tape</v>
      </c>
      <c r="N7">
        <v>6</v>
      </c>
    </row>
    <row r="8" spans="1:24" x14ac:dyDescent="0.25">
      <c r="A8">
        <v>2</v>
      </c>
      <c r="B8" t="s">
        <v>35</v>
      </c>
      <c r="L8" t="s">
        <v>19</v>
      </c>
      <c r="M8" t="str">
        <f>VLOOKUP(APOCOCO[[#This Row],[Product ID]],STORE[[#All],[Product ID]:[Product Name]],2,0)</f>
        <v xml:space="preserve">Stainless Steel Axe </v>
      </c>
      <c r="N8">
        <v>59</v>
      </c>
    </row>
    <row r="9" spans="1:24" x14ac:dyDescent="0.25">
      <c r="B9" t="s">
        <v>26</v>
      </c>
      <c r="C9">
        <f>SUMIF(APOCOCO[DATE],Sheet1!B9,APOCOCO[Units Sold])</f>
        <v>1270</v>
      </c>
      <c r="L9" t="s">
        <v>20</v>
      </c>
      <c r="M9" t="str">
        <f>VLOOKUP(APOCOCO[[#This Row],[Product ID]],STORE[[#All],[Product ID]:[Product Name]],2,0)</f>
        <v xml:space="preserve">Stainless Steel Axe </v>
      </c>
      <c r="N9">
        <v>72</v>
      </c>
    </row>
    <row r="10" spans="1:24" x14ac:dyDescent="0.25">
      <c r="B10" t="s">
        <v>27</v>
      </c>
      <c r="C10">
        <f>SUMIF(APOCOCO[DATE],Sheet1!B10,APOCOCO[Units Sold])</f>
        <v>1122</v>
      </c>
      <c r="L10" t="s">
        <v>17</v>
      </c>
      <c r="M10" t="str">
        <f>VLOOKUP(APOCOCO[[#This Row],[Product ID]],STORE[[#All],[Product ID]:[Product Name]],2,0)</f>
        <v>Nylon Rope</v>
      </c>
      <c r="N10">
        <v>67</v>
      </c>
    </row>
    <row r="11" spans="1:24" x14ac:dyDescent="0.25">
      <c r="B11" t="s">
        <v>28</v>
      </c>
      <c r="C11">
        <f>SUMIF(APOCOCO[DATE],Sheet1!B11,APOCOCO[Units Sold])</f>
        <v>609</v>
      </c>
      <c r="L11" t="s">
        <v>18</v>
      </c>
      <c r="M11" t="str">
        <f>VLOOKUP(APOCOCO[[#This Row],[Product ID]],STORE[[#All],[Product ID]:[Product Name]],2,0)</f>
        <v>Weatherproof Jacket</v>
      </c>
      <c r="N11">
        <v>7</v>
      </c>
    </row>
    <row r="12" spans="1:24" x14ac:dyDescent="0.25">
      <c r="L12" t="s">
        <v>19</v>
      </c>
      <c r="M12" t="str">
        <f>VLOOKUP(APOCOCO[[#This Row],[Product ID]],STORE[[#All],[Product ID]:[Product Name]],2,0)</f>
        <v>Nylon Rope</v>
      </c>
      <c r="N12">
        <v>23</v>
      </c>
    </row>
    <row r="13" spans="1:24" x14ac:dyDescent="0.25">
      <c r="A13">
        <v>3</v>
      </c>
      <c r="B13" t="s">
        <v>37</v>
      </c>
      <c r="L13" t="s">
        <v>20</v>
      </c>
      <c r="M13" t="str">
        <f>VLOOKUP(APOCOCO[[#This Row],[Product ID]],STORE[[#All],[Product ID]:[Product Name]],2,0)</f>
        <v>Duct Tape</v>
      </c>
      <c r="N13">
        <v>56</v>
      </c>
    </row>
    <row r="14" spans="1:24" x14ac:dyDescent="0.25">
      <c r="C14">
        <f>SUMIF(M2:M75,M2,N1:N75)</f>
        <v>252</v>
      </c>
      <c r="L14" t="s">
        <v>17</v>
      </c>
      <c r="M14" t="str">
        <f>VLOOKUP(APOCOCO[[#This Row],[Product ID]],STORE[[#All],[Product ID]:[Product Name]],2,0)</f>
        <v>Solar Battery Flashlight</v>
      </c>
      <c r="N14">
        <v>51</v>
      </c>
    </row>
    <row r="15" spans="1:24" x14ac:dyDescent="0.25">
      <c r="L15" t="s">
        <v>18</v>
      </c>
      <c r="M15" t="str">
        <f>VLOOKUP(APOCOCO[[#This Row],[Product ID]],STORE[[#All],[Product ID]:[Product Name]],2,0)</f>
        <v>Multitool Survivial Knife</v>
      </c>
      <c r="N15">
        <v>2</v>
      </c>
    </row>
    <row r="16" spans="1:24" x14ac:dyDescent="0.25">
      <c r="A16">
        <v>4</v>
      </c>
      <c r="B16" t="s">
        <v>32</v>
      </c>
      <c r="L16" t="s">
        <v>19</v>
      </c>
      <c r="M16" t="str">
        <f>VLOOKUP(APOCOCO[[#This Row],[Product ID]],STORE[[#All],[Product ID]:[Product Name]],2,0)</f>
        <v>N95 Mask</v>
      </c>
      <c r="N16">
        <v>45</v>
      </c>
    </row>
    <row r="17" spans="1:14" x14ac:dyDescent="0.25">
      <c r="C17" s="4"/>
      <c r="L17" t="s">
        <v>20</v>
      </c>
      <c r="M17" t="str">
        <f>VLOOKUP(APOCOCO[[#This Row],[Product ID]],STORE[[#All],[Product ID]:[Product Name]],2,0)</f>
        <v>Multitool Survivial Knife</v>
      </c>
      <c r="N17">
        <v>13</v>
      </c>
    </row>
    <row r="18" spans="1:14" x14ac:dyDescent="0.25">
      <c r="L18" t="s">
        <v>17</v>
      </c>
      <c r="M18" t="str">
        <f>VLOOKUP(APOCOCO[[#This Row],[Product ID]],STORE[[#All],[Product ID]:[Product Name]],2,0)</f>
        <v xml:space="preserve">Stainless Steel Axe </v>
      </c>
      <c r="N18">
        <v>4</v>
      </c>
    </row>
    <row r="19" spans="1:14" x14ac:dyDescent="0.25">
      <c r="A19">
        <v>5</v>
      </c>
      <c r="B19" t="s">
        <v>33</v>
      </c>
      <c r="L19" t="s">
        <v>17</v>
      </c>
      <c r="M19" t="str">
        <f>VLOOKUP(APOCOCO[[#This Row],[Product ID]],STORE[[#All],[Product ID]:[Product Name]],2,0)</f>
        <v>Multitool Survivial Knife</v>
      </c>
      <c r="N19">
        <v>78</v>
      </c>
    </row>
    <row r="20" spans="1:14" x14ac:dyDescent="0.25">
      <c r="C20" s="2"/>
      <c r="L20" t="s">
        <v>18</v>
      </c>
      <c r="M20" t="str">
        <f>VLOOKUP(APOCOCO[[#This Row],[Product ID]],STORE[[#All],[Product ID]:[Product Name]],2,0)</f>
        <v>Water Purifier</v>
      </c>
      <c r="N20">
        <v>70</v>
      </c>
    </row>
    <row r="21" spans="1:14" x14ac:dyDescent="0.25">
      <c r="A21">
        <v>6</v>
      </c>
      <c r="L21" t="s">
        <v>19</v>
      </c>
      <c r="M21" t="str">
        <f>VLOOKUP(APOCOCO[[#This Row],[Product ID]],STORE[[#All],[Product ID]:[Product Name]],2,0)</f>
        <v>Multitool Survivial Knife</v>
      </c>
      <c r="N21">
        <v>4</v>
      </c>
    </row>
    <row r="22" spans="1:14" x14ac:dyDescent="0.25">
      <c r="L22" t="s">
        <v>20</v>
      </c>
      <c r="M22" t="str">
        <f>VLOOKUP(APOCOCO[[#This Row],[Product ID]],STORE[[#All],[Product ID]:[Product Name]],2,0)</f>
        <v>Duct Tape</v>
      </c>
      <c r="N22">
        <v>73</v>
      </c>
    </row>
    <row r="23" spans="1:14" x14ac:dyDescent="0.25">
      <c r="L23" t="s">
        <v>17</v>
      </c>
      <c r="M23" t="str">
        <f>VLOOKUP(APOCOCO[[#This Row],[Product ID]],STORE[[#All],[Product ID]:[Product Name]],2,0)</f>
        <v>Multitool Survivial Knife</v>
      </c>
      <c r="N23">
        <v>30</v>
      </c>
    </row>
    <row r="24" spans="1:14" x14ac:dyDescent="0.25">
      <c r="C24">
        <v>0</v>
      </c>
      <c r="L24" t="s">
        <v>18</v>
      </c>
      <c r="M24" t="str">
        <f>VLOOKUP(APOCOCO[[#This Row],[Product ID]],STORE[[#All],[Product ID]:[Product Name]],2,0)</f>
        <v>Water Purifier</v>
      </c>
      <c r="N24">
        <v>49</v>
      </c>
    </row>
    <row r="25" spans="1:14" x14ac:dyDescent="0.25">
      <c r="L25" t="s">
        <v>19</v>
      </c>
      <c r="M25" t="str">
        <f>VLOOKUP(APOCOCO[[#This Row],[Product ID]],STORE[[#All],[Product ID]:[Product Name]],2,0)</f>
        <v>Nylon Rope</v>
      </c>
      <c r="N25">
        <v>66</v>
      </c>
    </row>
    <row r="26" spans="1:14" x14ac:dyDescent="0.25">
      <c r="L26" t="s">
        <v>20</v>
      </c>
      <c r="M26" t="str">
        <f>VLOOKUP(APOCOCO[[#This Row],[Product ID]],STORE[[#All],[Product ID]:[Product Name]],2,0)</f>
        <v>Solar Battery Flashlight</v>
      </c>
      <c r="N26">
        <v>4</v>
      </c>
    </row>
    <row r="27" spans="1:14" x14ac:dyDescent="0.25">
      <c r="L27" t="s">
        <v>17</v>
      </c>
      <c r="M27" t="str">
        <f>VLOOKUP(APOCOCO[[#This Row],[Product ID]],STORE[[#All],[Product ID]:[Product Name]],2,0)</f>
        <v>Nylon Rope</v>
      </c>
      <c r="N27">
        <v>5</v>
      </c>
    </row>
    <row r="28" spans="1:14" x14ac:dyDescent="0.25">
      <c r="L28" t="s">
        <v>18</v>
      </c>
      <c r="M28" t="str">
        <f>VLOOKUP(APOCOCO[[#This Row],[Product ID]],STORE[[#All],[Product ID]:[Product Name]],2,0)</f>
        <v>Water Purifier</v>
      </c>
      <c r="N28">
        <v>71</v>
      </c>
    </row>
    <row r="29" spans="1:14" x14ac:dyDescent="0.25">
      <c r="L29" t="s">
        <v>19</v>
      </c>
      <c r="M29" t="str">
        <f>VLOOKUP(APOCOCO[[#This Row],[Product ID]],STORE[[#All],[Product ID]:[Product Name]],2,0)</f>
        <v>Weatherproof Jacket</v>
      </c>
      <c r="N29">
        <v>57</v>
      </c>
    </row>
    <row r="30" spans="1:14" x14ac:dyDescent="0.25">
      <c r="L30" t="s">
        <v>20</v>
      </c>
      <c r="M30" t="str">
        <f>VLOOKUP(APOCOCO[[#This Row],[Product ID]],STORE[[#All],[Product ID]:[Product Name]],2,0)</f>
        <v>Duct Tape</v>
      </c>
      <c r="N30">
        <v>9</v>
      </c>
    </row>
    <row r="31" spans="1:14" x14ac:dyDescent="0.25">
      <c r="L31" t="s">
        <v>17</v>
      </c>
      <c r="M31" t="str">
        <f>VLOOKUP(APOCOCO[[#This Row],[Product ID]],STORE[[#All],[Product ID]:[Product Name]],2,0)</f>
        <v>Solar Battery Flashlight</v>
      </c>
      <c r="N31">
        <v>16</v>
      </c>
    </row>
    <row r="32" spans="1:14" x14ac:dyDescent="0.25">
      <c r="L32" t="s">
        <v>17</v>
      </c>
      <c r="M32" t="str">
        <f>VLOOKUP(APOCOCO[[#This Row],[Product ID]],STORE[[#All],[Product ID]:[Product Name]],2,0)</f>
        <v>Weatherproof Jacket</v>
      </c>
      <c r="N32">
        <v>46</v>
      </c>
    </row>
    <row r="33" spans="12:14" x14ac:dyDescent="0.25">
      <c r="L33" t="s">
        <v>17</v>
      </c>
      <c r="M33" t="str">
        <f>VLOOKUP(APOCOCO[[#This Row],[Product ID]],STORE[[#All],[Product ID]:[Product Name]],2,0)</f>
        <v>Weatherproof Jacket</v>
      </c>
      <c r="N33">
        <v>50</v>
      </c>
    </row>
    <row r="34" spans="12:14" x14ac:dyDescent="0.25">
      <c r="L34" t="s">
        <v>18</v>
      </c>
      <c r="M34" t="str">
        <f>VLOOKUP(APOCOCO[[#This Row],[Product ID]],STORE[[#All],[Product ID]:[Product Name]],2,0)</f>
        <v>Duct Tape</v>
      </c>
      <c r="N34">
        <v>11</v>
      </c>
    </row>
    <row r="35" spans="12:14" x14ac:dyDescent="0.25">
      <c r="L35" t="s">
        <v>19</v>
      </c>
      <c r="M35" t="str">
        <f>VLOOKUP(APOCOCO[[#This Row],[Product ID]],STORE[[#All],[Product ID]:[Product Name]],2,0)</f>
        <v xml:space="preserve">Stainless Steel Axe </v>
      </c>
      <c r="N35">
        <v>66</v>
      </c>
    </row>
    <row r="36" spans="12:14" x14ac:dyDescent="0.25">
      <c r="L36" t="s">
        <v>20</v>
      </c>
      <c r="M36" t="str">
        <f>VLOOKUP(APOCOCO[[#This Row],[Product ID]],STORE[[#All],[Product ID]:[Product Name]],2,0)</f>
        <v>Multitool Survivial Knife</v>
      </c>
      <c r="N36">
        <v>55</v>
      </c>
    </row>
    <row r="37" spans="12:14" x14ac:dyDescent="0.25">
      <c r="L37" t="s">
        <v>17</v>
      </c>
      <c r="M37" t="str">
        <f>VLOOKUP(APOCOCO[[#This Row],[Product ID]],STORE[[#All],[Product ID]:[Product Name]],2,0)</f>
        <v>Waterproof Matches</v>
      </c>
      <c r="N37">
        <v>32</v>
      </c>
    </row>
    <row r="38" spans="12:14" x14ac:dyDescent="0.25">
      <c r="L38" t="s">
        <v>18</v>
      </c>
      <c r="M38" t="str">
        <f>VLOOKUP(APOCOCO[[#This Row],[Product ID]],STORE[[#All],[Product ID]:[Product Name]],2,0)</f>
        <v>Nylon Rope</v>
      </c>
      <c r="N38">
        <v>48</v>
      </c>
    </row>
    <row r="39" spans="12:14" x14ac:dyDescent="0.25">
      <c r="L39" t="s">
        <v>19</v>
      </c>
      <c r="M39" t="str">
        <f>VLOOKUP(APOCOCO[[#This Row],[Product ID]],STORE[[#All],[Product ID]:[Product Name]],2,0)</f>
        <v>Weatherproof Jacket</v>
      </c>
      <c r="N39">
        <v>58</v>
      </c>
    </row>
    <row r="40" spans="12:14" x14ac:dyDescent="0.25">
      <c r="L40" t="s">
        <v>20</v>
      </c>
      <c r="M40" t="str">
        <f>VLOOKUP(APOCOCO[[#This Row],[Product ID]],STORE[[#All],[Product ID]:[Product Name]],2,0)</f>
        <v>Multitool Survivial Knife</v>
      </c>
      <c r="N40">
        <v>19</v>
      </c>
    </row>
    <row r="41" spans="12:14" x14ac:dyDescent="0.25">
      <c r="L41" t="s">
        <v>17</v>
      </c>
      <c r="M41" t="str">
        <f>VLOOKUP(APOCOCO[[#This Row],[Product ID]],STORE[[#All],[Product ID]:[Product Name]],2,0)</f>
        <v>Multitool Survivial Knife</v>
      </c>
      <c r="N41">
        <v>54</v>
      </c>
    </row>
    <row r="42" spans="12:14" x14ac:dyDescent="0.25">
      <c r="L42" t="s">
        <v>18</v>
      </c>
      <c r="M42" t="str">
        <f>VLOOKUP(APOCOCO[[#This Row],[Product ID]],STORE[[#All],[Product ID]:[Product Name]],2,0)</f>
        <v>N95 Mask</v>
      </c>
      <c r="N42">
        <v>60</v>
      </c>
    </row>
    <row r="43" spans="12:14" x14ac:dyDescent="0.25">
      <c r="L43" t="s">
        <v>19</v>
      </c>
      <c r="M43" t="str">
        <f>VLOOKUP(APOCOCO[[#This Row],[Product ID]],STORE[[#All],[Product ID]:[Product Name]],2,0)</f>
        <v xml:space="preserve">Stainless Steel Axe </v>
      </c>
      <c r="N43">
        <v>19</v>
      </c>
    </row>
    <row r="44" spans="12:14" x14ac:dyDescent="0.25">
      <c r="L44" t="s">
        <v>20</v>
      </c>
      <c r="M44" t="str">
        <f>VLOOKUP(APOCOCO[[#This Row],[Product ID]],STORE[[#All],[Product ID]:[Product Name]],2,0)</f>
        <v>Backpack</v>
      </c>
      <c r="N44">
        <v>4</v>
      </c>
    </row>
    <row r="45" spans="12:14" x14ac:dyDescent="0.25">
      <c r="L45" t="s">
        <v>17</v>
      </c>
      <c r="M45" t="str">
        <f>VLOOKUP(APOCOCO[[#This Row],[Product ID]],STORE[[#All],[Product ID]:[Product Name]],2,0)</f>
        <v>N95 Mask</v>
      </c>
      <c r="N45">
        <v>76</v>
      </c>
    </row>
    <row r="46" spans="12:14" x14ac:dyDescent="0.25">
      <c r="L46" t="s">
        <v>18</v>
      </c>
      <c r="M46" t="str">
        <f>VLOOKUP(APOCOCO[[#This Row],[Product ID]],STORE[[#All],[Product ID]:[Product Name]],2,0)</f>
        <v>Solar Battery Flashlight</v>
      </c>
      <c r="N46">
        <v>26</v>
      </c>
    </row>
    <row r="47" spans="12:14" x14ac:dyDescent="0.25">
      <c r="L47" t="s">
        <v>19</v>
      </c>
      <c r="M47" t="str">
        <f>VLOOKUP(APOCOCO[[#This Row],[Product ID]],STORE[[#All],[Product ID]:[Product Name]],2,0)</f>
        <v xml:space="preserve">Stainless Steel Axe </v>
      </c>
      <c r="N47">
        <v>35</v>
      </c>
    </row>
    <row r="48" spans="12:14" x14ac:dyDescent="0.25">
      <c r="L48" t="s">
        <v>20</v>
      </c>
      <c r="M48" t="str">
        <f>VLOOKUP(APOCOCO[[#This Row],[Product ID]],STORE[[#All],[Product ID]:[Product Name]],2,0)</f>
        <v>Duct Tape</v>
      </c>
      <c r="N48">
        <v>67</v>
      </c>
    </row>
    <row r="49" spans="12:14" x14ac:dyDescent="0.25">
      <c r="L49" t="s">
        <v>17</v>
      </c>
      <c r="M49" t="str">
        <f>VLOOKUP(APOCOCO[[#This Row],[Product ID]],STORE[[#All],[Product ID]:[Product Name]],2,0)</f>
        <v xml:space="preserve">Stainless Steel Axe </v>
      </c>
      <c r="N49">
        <v>27</v>
      </c>
    </row>
    <row r="50" spans="12:14" x14ac:dyDescent="0.25">
      <c r="L50" t="s">
        <v>18</v>
      </c>
      <c r="M50" t="str">
        <f>VLOOKUP(APOCOCO[[#This Row],[Product ID]],STORE[[#All],[Product ID]:[Product Name]],2,0)</f>
        <v>Weatherproof Jacket</v>
      </c>
      <c r="N50">
        <v>6</v>
      </c>
    </row>
    <row r="51" spans="12:14" x14ac:dyDescent="0.25">
      <c r="L51" t="s">
        <v>19</v>
      </c>
      <c r="M51" t="str">
        <f>VLOOKUP(APOCOCO[[#This Row],[Product ID]],STORE[[#All],[Product ID]:[Product Name]],2,0)</f>
        <v>Multitool Survivial Knife</v>
      </c>
      <c r="N51">
        <v>41</v>
      </c>
    </row>
    <row r="52" spans="12:14" x14ac:dyDescent="0.25">
      <c r="L52" t="s">
        <v>20</v>
      </c>
      <c r="M52" t="str">
        <f>VLOOKUP(APOCOCO[[#This Row],[Product ID]],STORE[[#All],[Product ID]:[Product Name]],2,0)</f>
        <v>Duct Tape</v>
      </c>
      <c r="N52">
        <v>36</v>
      </c>
    </row>
    <row r="53" spans="12:14" x14ac:dyDescent="0.25">
      <c r="L53" t="s">
        <v>17</v>
      </c>
      <c r="M53" t="str">
        <f>VLOOKUP(APOCOCO[[#This Row],[Product ID]],STORE[[#All],[Product ID]:[Product Name]],2,0)</f>
        <v>Duct Tape</v>
      </c>
      <c r="N53">
        <v>75</v>
      </c>
    </row>
    <row r="54" spans="12:14" x14ac:dyDescent="0.25">
      <c r="L54" t="s">
        <v>18</v>
      </c>
      <c r="M54" t="str">
        <f>VLOOKUP(APOCOCO[[#This Row],[Product ID]],STORE[[#All],[Product ID]:[Product Name]],2,0)</f>
        <v>Duct Tape</v>
      </c>
      <c r="N54">
        <v>32</v>
      </c>
    </row>
    <row r="55" spans="12:14" x14ac:dyDescent="0.25">
      <c r="L55" t="s">
        <v>19</v>
      </c>
      <c r="M55" t="str">
        <f>VLOOKUP(APOCOCO[[#This Row],[Product ID]],STORE[[#All],[Product ID]:[Product Name]],2,0)</f>
        <v xml:space="preserve">Stainless Steel Axe </v>
      </c>
      <c r="N55">
        <v>42</v>
      </c>
    </row>
    <row r="56" spans="12:14" x14ac:dyDescent="0.25">
      <c r="L56" t="s">
        <v>20</v>
      </c>
      <c r="M56" t="str">
        <f>VLOOKUP(APOCOCO[[#This Row],[Product ID]],STORE[[#All],[Product ID]:[Product Name]],2,0)</f>
        <v>N95 Mask</v>
      </c>
      <c r="N56">
        <v>5</v>
      </c>
    </row>
    <row r="57" spans="12:14" x14ac:dyDescent="0.25">
      <c r="L57" t="s">
        <v>17</v>
      </c>
      <c r="M57" t="str">
        <f>VLOOKUP(APOCOCO[[#This Row],[Product ID]],STORE[[#All],[Product ID]:[Product Name]],2,0)</f>
        <v>N95 Mask</v>
      </c>
      <c r="N57">
        <v>10</v>
      </c>
    </row>
    <row r="58" spans="12:14" x14ac:dyDescent="0.25">
      <c r="L58" t="s">
        <v>18</v>
      </c>
      <c r="M58" t="str">
        <f>VLOOKUP(APOCOCO[[#This Row],[Product ID]],STORE[[#All],[Product ID]:[Product Name]],2,0)</f>
        <v>Nylon Rope</v>
      </c>
      <c r="N58">
        <v>70</v>
      </c>
    </row>
    <row r="59" spans="12:14" x14ac:dyDescent="0.25">
      <c r="L59" t="s">
        <v>19</v>
      </c>
      <c r="M59" t="str">
        <f>VLOOKUP(APOCOCO[[#This Row],[Product ID]],STORE[[#All],[Product ID]:[Product Name]],2,0)</f>
        <v>Waterproof Matches</v>
      </c>
      <c r="N59">
        <v>45</v>
      </c>
    </row>
    <row r="60" spans="12:14" x14ac:dyDescent="0.25">
      <c r="L60" t="s">
        <v>20</v>
      </c>
      <c r="M60" t="str">
        <f>VLOOKUP(APOCOCO[[#This Row],[Product ID]],STORE[[#All],[Product ID]:[Product Name]],2,0)</f>
        <v>Solar Battery Flashlight</v>
      </c>
      <c r="N60">
        <v>53</v>
      </c>
    </row>
    <row r="61" spans="12:14" x14ac:dyDescent="0.25">
      <c r="L61" t="s">
        <v>17</v>
      </c>
      <c r="M61" t="str">
        <f>VLOOKUP(APOCOCO[[#This Row],[Product ID]],STORE[[#All],[Product ID]:[Product Name]],2,0)</f>
        <v>N95 Mask</v>
      </c>
      <c r="N61">
        <v>54</v>
      </c>
    </row>
    <row r="62" spans="12:14" x14ac:dyDescent="0.25">
      <c r="L62" t="s">
        <v>18</v>
      </c>
      <c r="M62" t="str">
        <f>VLOOKUP(APOCOCO[[#This Row],[Product ID]],STORE[[#All],[Product ID]:[Product Name]],2,0)</f>
        <v xml:space="preserve">Stainless Steel Axe </v>
      </c>
      <c r="N62">
        <v>26</v>
      </c>
    </row>
    <row r="63" spans="12:14" x14ac:dyDescent="0.25">
      <c r="L63" t="s">
        <v>19</v>
      </c>
      <c r="M63" t="str">
        <f>VLOOKUP(APOCOCO[[#This Row],[Product ID]],STORE[[#All],[Product ID]:[Product Name]],2,0)</f>
        <v>Multitool Survivial Knife</v>
      </c>
      <c r="N63">
        <v>41</v>
      </c>
    </row>
    <row r="64" spans="12:14" x14ac:dyDescent="0.25">
      <c r="L64" t="s">
        <v>20</v>
      </c>
      <c r="M64" t="str">
        <f>VLOOKUP(APOCOCO[[#This Row],[Product ID]],STORE[[#All],[Product ID]:[Product Name]],2,0)</f>
        <v>Waterproof Matches</v>
      </c>
      <c r="N64">
        <v>54</v>
      </c>
    </row>
    <row r="65" spans="12:14" x14ac:dyDescent="0.25">
      <c r="L65" t="s">
        <v>17</v>
      </c>
      <c r="M65" t="str">
        <f>VLOOKUP(APOCOCO[[#This Row],[Product ID]],STORE[[#All],[Product ID]:[Product Name]],2,0)</f>
        <v>Backpack</v>
      </c>
      <c r="N65">
        <v>55</v>
      </c>
    </row>
    <row r="66" spans="12:14" x14ac:dyDescent="0.25">
      <c r="L66" t="s">
        <v>19</v>
      </c>
      <c r="M66" t="str">
        <f>VLOOKUP(APOCOCO[[#This Row],[Product ID]],STORE[[#All],[Product ID]:[Product Name]],2,0)</f>
        <v>Nylon Rope</v>
      </c>
      <c r="N66">
        <v>17</v>
      </c>
    </row>
    <row r="67" spans="12:14" x14ac:dyDescent="0.25">
      <c r="L67" t="s">
        <v>17</v>
      </c>
      <c r="M67" t="str">
        <f>VLOOKUP(APOCOCO[[#This Row],[Product ID]],STORE[[#All],[Product ID]:[Product Name]],2,0)</f>
        <v>Backpack</v>
      </c>
      <c r="N67">
        <v>23</v>
      </c>
    </row>
    <row r="68" spans="12:14" x14ac:dyDescent="0.25">
      <c r="L68" t="s">
        <v>19</v>
      </c>
      <c r="M68" t="str">
        <f>VLOOKUP(APOCOCO[[#This Row],[Product ID]],STORE[[#All],[Product ID]:[Product Name]],2,0)</f>
        <v>Nylon Rope</v>
      </c>
      <c r="N68">
        <v>48</v>
      </c>
    </row>
    <row r="69" spans="12:14" x14ac:dyDescent="0.25">
      <c r="L69" t="s">
        <v>18</v>
      </c>
      <c r="M69" t="str">
        <f>VLOOKUP(APOCOCO[[#This Row],[Product ID]],STORE[[#All],[Product ID]:[Product Name]],2,0)</f>
        <v>Backpack</v>
      </c>
      <c r="N69">
        <v>61</v>
      </c>
    </row>
    <row r="70" spans="12:14" x14ac:dyDescent="0.25">
      <c r="L70" t="s">
        <v>19</v>
      </c>
      <c r="M70" t="str">
        <f>VLOOKUP(APOCOCO[[#This Row],[Product ID]],STORE[[#All],[Product ID]:[Product Name]],2,0)</f>
        <v>N95 Mask</v>
      </c>
      <c r="N70">
        <v>23</v>
      </c>
    </row>
    <row r="71" spans="12:14" x14ac:dyDescent="0.25">
      <c r="L71" t="s">
        <v>20</v>
      </c>
      <c r="M71" t="str">
        <f>VLOOKUP(APOCOCO[[#This Row],[Product ID]],STORE[[#All],[Product ID]:[Product Name]],2,0)</f>
        <v>Weatherproof Jacket</v>
      </c>
      <c r="N71">
        <v>41</v>
      </c>
    </row>
    <row r="72" spans="12:14" x14ac:dyDescent="0.25">
      <c r="L72" t="s">
        <v>17</v>
      </c>
      <c r="M72" t="str">
        <f>VLOOKUP(APOCOCO[[#This Row],[Product ID]],STORE[[#All],[Product ID]:[Product Name]],2,0)</f>
        <v>Water Purifier</v>
      </c>
      <c r="N72">
        <v>37</v>
      </c>
    </row>
    <row r="73" spans="12:14" x14ac:dyDescent="0.25">
      <c r="L73" t="s">
        <v>19</v>
      </c>
      <c r="M73" t="str">
        <f>VLOOKUP(APOCOCO[[#This Row],[Product ID]],STORE[[#All],[Product ID]:[Product Name]],2,0)</f>
        <v>Multitool Survivial Knife</v>
      </c>
      <c r="N73">
        <v>24</v>
      </c>
    </row>
    <row r="74" spans="12:14" x14ac:dyDescent="0.25">
      <c r="L74" t="s">
        <v>17</v>
      </c>
      <c r="M74" t="str">
        <f>VLOOKUP(APOCOCO[[#This Row],[Product ID]],STORE[[#All],[Product ID]:[Product Name]],2,0)</f>
        <v>Waterproof Matches</v>
      </c>
      <c r="N74">
        <v>59</v>
      </c>
    </row>
    <row r="75" spans="12:14" x14ac:dyDescent="0.25">
      <c r="L75" t="s">
        <v>19</v>
      </c>
      <c r="M75" t="str">
        <f>VLOOKUP(APOCOCO[[#This Row],[Product ID]],STORE[[#All],[Product ID]:[Product Name]],2,0)</f>
        <v>Nylon Rope</v>
      </c>
      <c r="N75">
        <v>46</v>
      </c>
    </row>
  </sheetData>
  <autoFilter ref="L1:N76" xr:uid="{00000000-0009-0000-0000-000002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5"/>
  <sheetViews>
    <sheetView workbookViewId="0">
      <selection activeCell="L16" sqref="L16"/>
    </sheetView>
  </sheetViews>
  <sheetFormatPr defaultRowHeight="15" x14ac:dyDescent="0.25"/>
  <cols>
    <col min="1" max="1" width="22.85546875" bestFit="1" customWidth="1"/>
    <col min="7" max="7" width="35.28515625" bestFit="1" customWidth="1"/>
    <col min="8" max="8" width="22.85546875" bestFit="1" customWidth="1"/>
    <col min="9" max="9" width="12.140625" customWidth="1"/>
  </cols>
  <sheetData>
    <row r="1" spans="1:9" x14ac:dyDescent="0.25">
      <c r="A1" t="s">
        <v>29</v>
      </c>
      <c r="G1" t="s">
        <v>34</v>
      </c>
      <c r="H1" t="s">
        <v>29</v>
      </c>
      <c r="I1" t="s">
        <v>5</v>
      </c>
    </row>
    <row r="2" spans="1:9" x14ac:dyDescent="0.25">
      <c r="A2" t="str">
        <f>VLOOKUP(APOCOCO[[#This Row],[Product ID]],STORE[[#All],[Product ID]:[Product Name]],2,0)</f>
        <v>Solar Battery Flashlight</v>
      </c>
      <c r="G2" t="s">
        <v>17</v>
      </c>
      <c r="H2" t="str">
        <f>VLOOKUP(APOCOCO[[#This Row],[Product ID]],STORE[[#All],[Product ID]:[Product Name]],2,0)</f>
        <v>Solar Battery Flashlight</v>
      </c>
      <c r="I2">
        <v>32</v>
      </c>
    </row>
    <row r="3" spans="1:9" x14ac:dyDescent="0.25">
      <c r="A3" t="str">
        <f>VLOOKUP(APOCOCO[[#This Row],[Product ID]],STORE[[#All],[Product ID]:[Product Name]],2,0)</f>
        <v>Multitool Survivial Knife</v>
      </c>
      <c r="G3" t="s">
        <v>18</v>
      </c>
      <c r="H3" t="str">
        <f>VLOOKUP(APOCOCO[[#This Row],[Product ID]],STORE[[#All],[Product ID]:[Product Name]],2,0)</f>
        <v>Multitool Survivial Knife</v>
      </c>
      <c r="I3">
        <v>68</v>
      </c>
    </row>
    <row r="4" spans="1:9" x14ac:dyDescent="0.25">
      <c r="A4" t="str">
        <f>VLOOKUP(APOCOCO[[#This Row],[Product ID]],STORE[[#All],[Product ID]:[Product Name]],2,0)</f>
        <v>Backpack</v>
      </c>
      <c r="G4" t="s">
        <v>19</v>
      </c>
      <c r="H4" t="str">
        <f>VLOOKUP(APOCOCO[[#This Row],[Product ID]],STORE[[#All],[Product ID]:[Product Name]],2,0)</f>
        <v>Backpack</v>
      </c>
      <c r="I4">
        <v>69</v>
      </c>
    </row>
    <row r="5" spans="1:9" x14ac:dyDescent="0.25">
      <c r="A5" t="str">
        <f>VLOOKUP(APOCOCO[[#This Row],[Product ID]],STORE[[#All],[Product ID]:[Product Name]],2,0)</f>
        <v>Multitool Survivial Knife</v>
      </c>
      <c r="G5" t="s">
        <v>20</v>
      </c>
      <c r="H5" t="str">
        <f>VLOOKUP(APOCOCO[[#This Row],[Product ID]],STORE[[#All],[Product ID]:[Product Name]],2,0)</f>
        <v>Multitool Survivial Knife</v>
      </c>
      <c r="I5">
        <v>48</v>
      </c>
    </row>
    <row r="6" spans="1:9" x14ac:dyDescent="0.25">
      <c r="A6" t="str">
        <f>VLOOKUP(APOCOCO[[#This Row],[Product ID]],STORE[[#All],[Product ID]:[Product Name]],2,0)</f>
        <v>N95 Mask</v>
      </c>
      <c r="G6" t="s">
        <v>17</v>
      </c>
      <c r="H6" t="str">
        <f>VLOOKUP(APOCOCO[[#This Row],[Product ID]],STORE[[#All],[Product ID]:[Product Name]],2,0)</f>
        <v>N95 Mask</v>
      </c>
      <c r="I6">
        <v>70</v>
      </c>
    </row>
    <row r="7" spans="1:9" x14ac:dyDescent="0.25">
      <c r="A7" t="str">
        <f>VLOOKUP(APOCOCO[[#This Row],[Product ID]],STORE[[#All],[Product ID]:[Product Name]],2,0)</f>
        <v>Duct Tape</v>
      </c>
      <c r="G7" t="s">
        <v>18</v>
      </c>
      <c r="H7" t="str">
        <f>VLOOKUP(APOCOCO[[#This Row],[Product ID]],STORE[[#All],[Product ID]:[Product Name]],2,0)</f>
        <v>Duct Tape</v>
      </c>
      <c r="I7">
        <v>6</v>
      </c>
    </row>
    <row r="8" spans="1:9" x14ac:dyDescent="0.25">
      <c r="A8" t="str">
        <f>VLOOKUP(APOCOCO[[#This Row],[Product ID]],STORE[[#All],[Product ID]:[Product Name]],2,0)</f>
        <v xml:space="preserve">Stainless Steel Axe </v>
      </c>
      <c r="G8" t="s">
        <v>19</v>
      </c>
      <c r="H8" t="str">
        <f>VLOOKUP(APOCOCO[[#This Row],[Product ID]],STORE[[#All],[Product ID]:[Product Name]],2,0)</f>
        <v xml:space="preserve">Stainless Steel Axe </v>
      </c>
      <c r="I8">
        <v>59</v>
      </c>
    </row>
    <row r="9" spans="1:9" x14ac:dyDescent="0.25">
      <c r="A9" t="str">
        <f>VLOOKUP(APOCOCO[[#This Row],[Product ID]],STORE[[#All],[Product ID]:[Product Name]],2,0)</f>
        <v xml:space="preserve">Stainless Steel Axe </v>
      </c>
      <c r="G9" t="s">
        <v>20</v>
      </c>
      <c r="H9" t="str">
        <f>VLOOKUP(APOCOCO[[#This Row],[Product ID]],STORE[[#All],[Product ID]:[Product Name]],2,0)</f>
        <v xml:space="preserve">Stainless Steel Axe </v>
      </c>
      <c r="I9">
        <v>72</v>
      </c>
    </row>
    <row r="10" spans="1:9" x14ac:dyDescent="0.25">
      <c r="A10" t="str">
        <f>VLOOKUP(APOCOCO[[#This Row],[Product ID]],STORE[[#All],[Product ID]:[Product Name]],2,0)</f>
        <v>Nylon Rope</v>
      </c>
      <c r="G10" t="s">
        <v>17</v>
      </c>
      <c r="H10" t="str">
        <f>VLOOKUP(APOCOCO[[#This Row],[Product ID]],STORE[[#All],[Product ID]:[Product Name]],2,0)</f>
        <v>Nylon Rope</v>
      </c>
      <c r="I10">
        <v>67</v>
      </c>
    </row>
    <row r="11" spans="1:9" x14ac:dyDescent="0.25">
      <c r="A11" t="str">
        <f>VLOOKUP(APOCOCO[[#This Row],[Product ID]],STORE[[#All],[Product ID]:[Product Name]],2,0)</f>
        <v>Weatherproof Jacket</v>
      </c>
      <c r="G11" t="s">
        <v>18</v>
      </c>
      <c r="H11" t="str">
        <f>VLOOKUP(APOCOCO[[#This Row],[Product ID]],STORE[[#All],[Product ID]:[Product Name]],2,0)</f>
        <v>Weatherproof Jacket</v>
      </c>
      <c r="I11">
        <v>7</v>
      </c>
    </row>
    <row r="12" spans="1:9" x14ac:dyDescent="0.25">
      <c r="A12" t="str">
        <f>VLOOKUP(APOCOCO[[#This Row],[Product ID]],STORE[[#All],[Product ID]:[Product Name]],2,0)</f>
        <v>Nylon Rope</v>
      </c>
      <c r="G12" t="s">
        <v>19</v>
      </c>
      <c r="H12" t="str">
        <f>VLOOKUP(APOCOCO[[#This Row],[Product ID]],STORE[[#All],[Product ID]:[Product Name]],2,0)</f>
        <v>Nylon Rope</v>
      </c>
      <c r="I12">
        <v>23</v>
      </c>
    </row>
    <row r="13" spans="1:9" x14ac:dyDescent="0.25">
      <c r="A13" t="str">
        <f>VLOOKUP(APOCOCO[[#This Row],[Product ID]],STORE[[#All],[Product ID]:[Product Name]],2,0)</f>
        <v>Duct Tape</v>
      </c>
      <c r="G13" t="s">
        <v>20</v>
      </c>
      <c r="H13" t="str">
        <f>VLOOKUP(APOCOCO[[#This Row],[Product ID]],STORE[[#All],[Product ID]:[Product Name]],2,0)</f>
        <v>Duct Tape</v>
      </c>
      <c r="I13">
        <v>56</v>
      </c>
    </row>
    <row r="14" spans="1:9" x14ac:dyDescent="0.25">
      <c r="A14" t="str">
        <f>VLOOKUP(APOCOCO[[#This Row],[Product ID]],STORE[[#All],[Product ID]:[Product Name]],2,0)</f>
        <v>Solar Battery Flashlight</v>
      </c>
      <c r="G14" t="s">
        <v>17</v>
      </c>
      <c r="H14" t="str">
        <f>VLOOKUP(APOCOCO[[#This Row],[Product ID]],STORE[[#All],[Product ID]:[Product Name]],2,0)</f>
        <v>Solar Battery Flashlight</v>
      </c>
      <c r="I14">
        <v>51</v>
      </c>
    </row>
    <row r="15" spans="1:9" x14ac:dyDescent="0.25">
      <c r="A15" t="str">
        <f>VLOOKUP(APOCOCO[[#This Row],[Product ID]],STORE[[#All],[Product ID]:[Product Name]],2,0)</f>
        <v>Multitool Survivial Knife</v>
      </c>
      <c r="G15" t="s">
        <v>18</v>
      </c>
      <c r="H15" t="str">
        <f>VLOOKUP(APOCOCO[[#This Row],[Product ID]],STORE[[#All],[Product ID]:[Product Name]],2,0)</f>
        <v>Multitool Survivial Knife</v>
      </c>
      <c r="I15">
        <v>2</v>
      </c>
    </row>
    <row r="16" spans="1:9" x14ac:dyDescent="0.25">
      <c r="A16" t="str">
        <f>VLOOKUP(APOCOCO[[#This Row],[Product ID]],STORE[[#All],[Product ID]:[Product Name]],2,0)</f>
        <v>N95 Mask</v>
      </c>
      <c r="G16" t="s">
        <v>19</v>
      </c>
      <c r="H16" t="str">
        <f>VLOOKUP(APOCOCO[[#This Row],[Product ID]],STORE[[#All],[Product ID]:[Product Name]],2,0)</f>
        <v>N95 Mask</v>
      </c>
      <c r="I16">
        <v>45</v>
      </c>
    </row>
    <row r="17" spans="1:9" x14ac:dyDescent="0.25">
      <c r="A17" t="str">
        <f>VLOOKUP(APOCOCO[[#This Row],[Product ID]],STORE[[#All],[Product ID]:[Product Name]],2,0)</f>
        <v>Multitool Survivial Knife</v>
      </c>
      <c r="G17" t="s">
        <v>20</v>
      </c>
      <c r="H17" t="str">
        <f>VLOOKUP(APOCOCO[[#This Row],[Product ID]],STORE[[#All],[Product ID]:[Product Name]],2,0)</f>
        <v>Multitool Survivial Knife</v>
      </c>
      <c r="I17">
        <v>13</v>
      </c>
    </row>
    <row r="18" spans="1:9" x14ac:dyDescent="0.25">
      <c r="A18" t="str">
        <f>VLOOKUP(APOCOCO[[#This Row],[Product ID]],STORE[[#All],[Product ID]:[Product Name]],2,0)</f>
        <v xml:space="preserve">Stainless Steel Axe </v>
      </c>
      <c r="G18" t="s">
        <v>17</v>
      </c>
      <c r="H18" t="str">
        <f>VLOOKUP(APOCOCO[[#This Row],[Product ID]],STORE[[#All],[Product ID]:[Product Name]],2,0)</f>
        <v xml:space="preserve">Stainless Steel Axe </v>
      </c>
      <c r="I18">
        <v>4</v>
      </c>
    </row>
    <row r="19" spans="1:9" x14ac:dyDescent="0.25">
      <c r="A19" t="str">
        <f>VLOOKUP(APOCOCO[[#This Row],[Product ID]],STORE[[#All],[Product ID]:[Product Name]],2,0)</f>
        <v>Multitool Survivial Knife</v>
      </c>
      <c r="G19" t="s">
        <v>17</v>
      </c>
      <c r="H19" t="str">
        <f>VLOOKUP(APOCOCO[[#This Row],[Product ID]],STORE[[#All],[Product ID]:[Product Name]],2,0)</f>
        <v>Multitool Survivial Knife</v>
      </c>
      <c r="I19">
        <v>78</v>
      </c>
    </row>
    <row r="20" spans="1:9" x14ac:dyDescent="0.25">
      <c r="A20" t="str">
        <f>VLOOKUP(APOCOCO[[#This Row],[Product ID]],STORE[[#All],[Product ID]:[Product Name]],2,0)</f>
        <v>Water Purifier</v>
      </c>
      <c r="G20" t="s">
        <v>18</v>
      </c>
      <c r="H20" t="str">
        <f>VLOOKUP(APOCOCO[[#This Row],[Product ID]],STORE[[#All],[Product ID]:[Product Name]],2,0)</f>
        <v>Water Purifier</v>
      </c>
      <c r="I20">
        <v>70</v>
      </c>
    </row>
    <row r="21" spans="1:9" x14ac:dyDescent="0.25">
      <c r="A21" t="str">
        <f>VLOOKUP(APOCOCO[[#This Row],[Product ID]],STORE[[#All],[Product ID]:[Product Name]],2,0)</f>
        <v>Multitool Survivial Knife</v>
      </c>
      <c r="G21" t="s">
        <v>19</v>
      </c>
      <c r="H21" t="str">
        <f>VLOOKUP(APOCOCO[[#This Row],[Product ID]],STORE[[#All],[Product ID]:[Product Name]],2,0)</f>
        <v>Multitool Survivial Knife</v>
      </c>
      <c r="I21">
        <v>4</v>
      </c>
    </row>
    <row r="22" spans="1:9" x14ac:dyDescent="0.25">
      <c r="A22" t="str">
        <f>VLOOKUP(APOCOCO[[#This Row],[Product ID]],STORE[[#All],[Product ID]:[Product Name]],2,0)</f>
        <v>Duct Tape</v>
      </c>
      <c r="G22" t="s">
        <v>20</v>
      </c>
      <c r="H22" t="str">
        <f>VLOOKUP(APOCOCO[[#This Row],[Product ID]],STORE[[#All],[Product ID]:[Product Name]],2,0)</f>
        <v>Duct Tape</v>
      </c>
      <c r="I22">
        <v>73</v>
      </c>
    </row>
    <row r="23" spans="1:9" x14ac:dyDescent="0.25">
      <c r="A23" t="str">
        <f>VLOOKUP(APOCOCO[[#This Row],[Product ID]],STORE[[#All],[Product ID]:[Product Name]],2,0)</f>
        <v>Multitool Survivial Knife</v>
      </c>
      <c r="G23" t="s">
        <v>17</v>
      </c>
      <c r="H23" t="str">
        <f>VLOOKUP(APOCOCO[[#This Row],[Product ID]],STORE[[#All],[Product ID]:[Product Name]],2,0)</f>
        <v>Multitool Survivial Knife</v>
      </c>
      <c r="I23">
        <v>30</v>
      </c>
    </row>
    <row r="24" spans="1:9" x14ac:dyDescent="0.25">
      <c r="A24" t="str">
        <f>VLOOKUP(APOCOCO[[#This Row],[Product ID]],STORE[[#All],[Product ID]:[Product Name]],2,0)</f>
        <v>Water Purifier</v>
      </c>
      <c r="G24" t="s">
        <v>18</v>
      </c>
      <c r="H24" t="str">
        <f>VLOOKUP(APOCOCO[[#This Row],[Product ID]],STORE[[#All],[Product ID]:[Product Name]],2,0)</f>
        <v>Water Purifier</v>
      </c>
      <c r="I24">
        <v>49</v>
      </c>
    </row>
    <row r="25" spans="1:9" x14ac:dyDescent="0.25">
      <c r="A25" t="str">
        <f>VLOOKUP(APOCOCO[[#This Row],[Product ID]],STORE[[#All],[Product ID]:[Product Name]],2,0)</f>
        <v>Nylon Rope</v>
      </c>
      <c r="G25" t="s">
        <v>19</v>
      </c>
      <c r="H25" t="str">
        <f>VLOOKUP(APOCOCO[[#This Row],[Product ID]],STORE[[#All],[Product ID]:[Product Name]],2,0)</f>
        <v>Nylon Rope</v>
      </c>
      <c r="I25">
        <v>66</v>
      </c>
    </row>
    <row r="26" spans="1:9" x14ac:dyDescent="0.25">
      <c r="A26" t="str">
        <f>VLOOKUP(APOCOCO[[#This Row],[Product ID]],STORE[[#All],[Product ID]:[Product Name]],2,0)</f>
        <v>Solar Battery Flashlight</v>
      </c>
      <c r="G26" t="s">
        <v>20</v>
      </c>
      <c r="H26" t="str">
        <f>VLOOKUP(APOCOCO[[#This Row],[Product ID]],STORE[[#All],[Product ID]:[Product Name]],2,0)</f>
        <v>Solar Battery Flashlight</v>
      </c>
      <c r="I26">
        <v>4</v>
      </c>
    </row>
    <row r="27" spans="1:9" x14ac:dyDescent="0.25">
      <c r="A27" t="str">
        <f>VLOOKUP(APOCOCO[[#This Row],[Product ID]],STORE[[#All],[Product ID]:[Product Name]],2,0)</f>
        <v>Nylon Rope</v>
      </c>
      <c r="G27" t="s">
        <v>17</v>
      </c>
      <c r="H27" t="str">
        <f>VLOOKUP(APOCOCO[[#This Row],[Product ID]],STORE[[#All],[Product ID]:[Product Name]],2,0)</f>
        <v>Nylon Rope</v>
      </c>
      <c r="I27">
        <v>5</v>
      </c>
    </row>
    <row r="28" spans="1:9" x14ac:dyDescent="0.25">
      <c r="A28" t="str">
        <f>VLOOKUP(APOCOCO[[#This Row],[Product ID]],STORE[[#All],[Product ID]:[Product Name]],2,0)</f>
        <v>Water Purifier</v>
      </c>
      <c r="G28" t="s">
        <v>18</v>
      </c>
      <c r="H28" t="str">
        <f>VLOOKUP(APOCOCO[[#This Row],[Product ID]],STORE[[#All],[Product ID]:[Product Name]],2,0)</f>
        <v>Water Purifier</v>
      </c>
      <c r="I28">
        <v>71</v>
      </c>
    </row>
    <row r="29" spans="1:9" x14ac:dyDescent="0.25">
      <c r="A29" t="str">
        <f>VLOOKUP(APOCOCO[[#This Row],[Product ID]],STORE[[#All],[Product ID]:[Product Name]],2,0)</f>
        <v>Weatherproof Jacket</v>
      </c>
      <c r="G29" t="s">
        <v>19</v>
      </c>
      <c r="H29" t="str">
        <f>VLOOKUP(APOCOCO[[#This Row],[Product ID]],STORE[[#All],[Product ID]:[Product Name]],2,0)</f>
        <v>Weatherproof Jacket</v>
      </c>
      <c r="I29">
        <v>57</v>
      </c>
    </row>
    <row r="30" spans="1:9" x14ac:dyDescent="0.25">
      <c r="A30" t="str">
        <f>VLOOKUP(APOCOCO[[#This Row],[Product ID]],STORE[[#All],[Product ID]:[Product Name]],2,0)</f>
        <v>Duct Tape</v>
      </c>
      <c r="G30" t="s">
        <v>20</v>
      </c>
      <c r="H30" t="str">
        <f>VLOOKUP(APOCOCO[[#This Row],[Product ID]],STORE[[#All],[Product ID]:[Product Name]],2,0)</f>
        <v>Duct Tape</v>
      </c>
      <c r="I30">
        <v>9</v>
      </c>
    </row>
    <row r="31" spans="1:9" x14ac:dyDescent="0.25">
      <c r="A31" t="str">
        <f>VLOOKUP(APOCOCO[[#This Row],[Product ID]],STORE[[#All],[Product ID]:[Product Name]],2,0)</f>
        <v>Solar Battery Flashlight</v>
      </c>
      <c r="G31" t="s">
        <v>17</v>
      </c>
      <c r="H31" t="str">
        <f>VLOOKUP(APOCOCO[[#This Row],[Product ID]],STORE[[#All],[Product ID]:[Product Name]],2,0)</f>
        <v>Solar Battery Flashlight</v>
      </c>
      <c r="I31">
        <v>16</v>
      </c>
    </row>
    <row r="32" spans="1:9" x14ac:dyDescent="0.25">
      <c r="A32" t="str">
        <f>VLOOKUP(APOCOCO[[#This Row],[Product ID]],STORE[[#All],[Product ID]:[Product Name]],2,0)</f>
        <v>Weatherproof Jacket</v>
      </c>
      <c r="G32" t="s">
        <v>17</v>
      </c>
      <c r="H32" t="str">
        <f>VLOOKUP(APOCOCO[[#This Row],[Product ID]],STORE[[#All],[Product ID]:[Product Name]],2,0)</f>
        <v>Weatherproof Jacket</v>
      </c>
      <c r="I32">
        <v>46</v>
      </c>
    </row>
    <row r="33" spans="1:9" x14ac:dyDescent="0.25">
      <c r="A33" t="str">
        <f>VLOOKUP(APOCOCO[[#This Row],[Product ID]],STORE[[#All],[Product ID]:[Product Name]],2,0)</f>
        <v>Weatherproof Jacket</v>
      </c>
      <c r="G33" t="s">
        <v>17</v>
      </c>
      <c r="H33" t="str">
        <f>VLOOKUP(APOCOCO[[#This Row],[Product ID]],STORE[[#All],[Product ID]:[Product Name]],2,0)</f>
        <v>Weatherproof Jacket</v>
      </c>
      <c r="I33">
        <v>50</v>
      </c>
    </row>
    <row r="34" spans="1:9" x14ac:dyDescent="0.25">
      <c r="A34" t="str">
        <f>VLOOKUP(APOCOCO[[#This Row],[Product ID]],STORE[[#All],[Product ID]:[Product Name]],2,0)</f>
        <v>Duct Tape</v>
      </c>
      <c r="G34" t="s">
        <v>18</v>
      </c>
      <c r="H34" t="str">
        <f>VLOOKUP(APOCOCO[[#This Row],[Product ID]],STORE[[#All],[Product ID]:[Product Name]],2,0)</f>
        <v>Duct Tape</v>
      </c>
      <c r="I34">
        <v>11</v>
      </c>
    </row>
    <row r="35" spans="1:9" x14ac:dyDescent="0.25">
      <c r="A35" t="str">
        <f>VLOOKUP(APOCOCO[[#This Row],[Product ID]],STORE[[#All],[Product ID]:[Product Name]],2,0)</f>
        <v xml:space="preserve">Stainless Steel Axe </v>
      </c>
      <c r="G35" t="s">
        <v>19</v>
      </c>
      <c r="H35" t="str">
        <f>VLOOKUP(APOCOCO[[#This Row],[Product ID]],STORE[[#All],[Product ID]:[Product Name]],2,0)</f>
        <v xml:space="preserve">Stainless Steel Axe </v>
      </c>
      <c r="I35">
        <v>66</v>
      </c>
    </row>
    <row r="36" spans="1:9" x14ac:dyDescent="0.25">
      <c r="A36" t="str">
        <f>VLOOKUP(APOCOCO[[#This Row],[Product ID]],STORE[[#All],[Product ID]:[Product Name]],2,0)</f>
        <v>Multitool Survivial Knife</v>
      </c>
      <c r="G36" t="s">
        <v>20</v>
      </c>
      <c r="H36" t="str">
        <f>VLOOKUP(APOCOCO[[#This Row],[Product ID]],STORE[[#All],[Product ID]:[Product Name]],2,0)</f>
        <v>Multitool Survivial Knife</v>
      </c>
      <c r="I36">
        <v>55</v>
      </c>
    </row>
    <row r="37" spans="1:9" x14ac:dyDescent="0.25">
      <c r="A37" t="str">
        <f>VLOOKUP(APOCOCO[[#This Row],[Product ID]],STORE[[#All],[Product ID]:[Product Name]],2,0)</f>
        <v>Waterproof Matches</v>
      </c>
      <c r="G37" t="s">
        <v>17</v>
      </c>
      <c r="H37" t="str">
        <f>VLOOKUP(APOCOCO[[#This Row],[Product ID]],STORE[[#All],[Product ID]:[Product Name]],2,0)</f>
        <v>Waterproof Matches</v>
      </c>
      <c r="I37">
        <v>32</v>
      </c>
    </row>
    <row r="38" spans="1:9" x14ac:dyDescent="0.25">
      <c r="A38" t="str">
        <f>VLOOKUP(APOCOCO[[#This Row],[Product ID]],STORE[[#All],[Product ID]:[Product Name]],2,0)</f>
        <v>Nylon Rope</v>
      </c>
      <c r="G38" t="s">
        <v>18</v>
      </c>
      <c r="H38" t="str">
        <f>VLOOKUP(APOCOCO[[#This Row],[Product ID]],STORE[[#All],[Product ID]:[Product Name]],2,0)</f>
        <v>Nylon Rope</v>
      </c>
      <c r="I38">
        <v>48</v>
      </c>
    </row>
    <row r="39" spans="1:9" x14ac:dyDescent="0.25">
      <c r="A39" t="str">
        <f>VLOOKUP(APOCOCO[[#This Row],[Product ID]],STORE[[#All],[Product ID]:[Product Name]],2,0)</f>
        <v>Weatherproof Jacket</v>
      </c>
      <c r="G39" t="s">
        <v>19</v>
      </c>
      <c r="H39" t="str">
        <f>VLOOKUP(APOCOCO[[#This Row],[Product ID]],STORE[[#All],[Product ID]:[Product Name]],2,0)</f>
        <v>Weatherproof Jacket</v>
      </c>
      <c r="I39">
        <v>58</v>
      </c>
    </row>
    <row r="40" spans="1:9" x14ac:dyDescent="0.25">
      <c r="A40" t="str">
        <f>VLOOKUP(APOCOCO[[#This Row],[Product ID]],STORE[[#All],[Product ID]:[Product Name]],2,0)</f>
        <v>Multitool Survivial Knife</v>
      </c>
      <c r="G40" t="s">
        <v>20</v>
      </c>
      <c r="H40" t="str">
        <f>VLOOKUP(APOCOCO[[#This Row],[Product ID]],STORE[[#All],[Product ID]:[Product Name]],2,0)</f>
        <v>Multitool Survivial Knife</v>
      </c>
      <c r="I40">
        <v>19</v>
      </c>
    </row>
    <row r="41" spans="1:9" x14ac:dyDescent="0.25">
      <c r="A41" t="str">
        <f>VLOOKUP(APOCOCO[[#This Row],[Product ID]],STORE[[#All],[Product ID]:[Product Name]],2,0)</f>
        <v>Multitool Survivial Knife</v>
      </c>
      <c r="G41" t="s">
        <v>17</v>
      </c>
      <c r="H41" t="str">
        <f>VLOOKUP(APOCOCO[[#This Row],[Product ID]],STORE[[#All],[Product ID]:[Product Name]],2,0)</f>
        <v>Multitool Survivial Knife</v>
      </c>
      <c r="I41">
        <v>54</v>
      </c>
    </row>
    <row r="42" spans="1:9" x14ac:dyDescent="0.25">
      <c r="A42" t="str">
        <f>VLOOKUP(APOCOCO[[#This Row],[Product ID]],STORE[[#All],[Product ID]:[Product Name]],2,0)</f>
        <v>N95 Mask</v>
      </c>
      <c r="G42" t="s">
        <v>18</v>
      </c>
      <c r="H42" t="str">
        <f>VLOOKUP(APOCOCO[[#This Row],[Product ID]],STORE[[#All],[Product ID]:[Product Name]],2,0)</f>
        <v>N95 Mask</v>
      </c>
      <c r="I42">
        <v>60</v>
      </c>
    </row>
    <row r="43" spans="1:9" x14ac:dyDescent="0.25">
      <c r="A43" t="str">
        <f>VLOOKUP(APOCOCO[[#This Row],[Product ID]],STORE[[#All],[Product ID]:[Product Name]],2,0)</f>
        <v xml:space="preserve">Stainless Steel Axe </v>
      </c>
      <c r="G43" t="s">
        <v>19</v>
      </c>
      <c r="H43" t="str">
        <f>VLOOKUP(APOCOCO[[#This Row],[Product ID]],STORE[[#All],[Product ID]:[Product Name]],2,0)</f>
        <v xml:space="preserve">Stainless Steel Axe </v>
      </c>
      <c r="I43">
        <v>19</v>
      </c>
    </row>
    <row r="44" spans="1:9" x14ac:dyDescent="0.25">
      <c r="A44" t="str">
        <f>VLOOKUP(APOCOCO[[#This Row],[Product ID]],STORE[[#All],[Product ID]:[Product Name]],2,0)</f>
        <v>Backpack</v>
      </c>
      <c r="G44" t="s">
        <v>20</v>
      </c>
      <c r="H44" t="str">
        <f>VLOOKUP(APOCOCO[[#This Row],[Product ID]],STORE[[#All],[Product ID]:[Product Name]],2,0)</f>
        <v>Backpack</v>
      </c>
      <c r="I44">
        <v>4</v>
      </c>
    </row>
    <row r="45" spans="1:9" x14ac:dyDescent="0.25">
      <c r="A45" t="str">
        <f>VLOOKUP(APOCOCO[[#This Row],[Product ID]],STORE[[#All],[Product ID]:[Product Name]],2,0)</f>
        <v>N95 Mask</v>
      </c>
      <c r="G45" t="s">
        <v>17</v>
      </c>
      <c r="H45" t="str">
        <f>VLOOKUP(APOCOCO[[#This Row],[Product ID]],STORE[[#All],[Product ID]:[Product Name]],2,0)</f>
        <v>N95 Mask</v>
      </c>
      <c r="I45">
        <v>76</v>
      </c>
    </row>
    <row r="46" spans="1:9" x14ac:dyDescent="0.25">
      <c r="A46" t="str">
        <f>VLOOKUP(APOCOCO[[#This Row],[Product ID]],STORE[[#All],[Product ID]:[Product Name]],2,0)</f>
        <v>Solar Battery Flashlight</v>
      </c>
      <c r="G46" t="s">
        <v>18</v>
      </c>
      <c r="H46" t="str">
        <f>VLOOKUP(APOCOCO[[#This Row],[Product ID]],STORE[[#All],[Product ID]:[Product Name]],2,0)</f>
        <v>Solar Battery Flashlight</v>
      </c>
      <c r="I46">
        <v>26</v>
      </c>
    </row>
    <row r="47" spans="1:9" x14ac:dyDescent="0.25">
      <c r="A47" t="str">
        <f>VLOOKUP(APOCOCO[[#This Row],[Product ID]],STORE[[#All],[Product ID]:[Product Name]],2,0)</f>
        <v xml:space="preserve">Stainless Steel Axe </v>
      </c>
      <c r="G47" t="s">
        <v>19</v>
      </c>
      <c r="H47" t="str">
        <f>VLOOKUP(APOCOCO[[#This Row],[Product ID]],STORE[[#All],[Product ID]:[Product Name]],2,0)</f>
        <v xml:space="preserve">Stainless Steel Axe </v>
      </c>
      <c r="I47">
        <v>35</v>
      </c>
    </row>
    <row r="48" spans="1:9" x14ac:dyDescent="0.25">
      <c r="A48" t="str">
        <f>VLOOKUP(APOCOCO[[#This Row],[Product ID]],STORE[[#All],[Product ID]:[Product Name]],2,0)</f>
        <v>Duct Tape</v>
      </c>
      <c r="G48" t="s">
        <v>20</v>
      </c>
      <c r="H48" t="str">
        <f>VLOOKUP(APOCOCO[[#This Row],[Product ID]],STORE[[#All],[Product ID]:[Product Name]],2,0)</f>
        <v>Duct Tape</v>
      </c>
      <c r="I48">
        <v>67</v>
      </c>
    </row>
    <row r="49" spans="1:9" x14ac:dyDescent="0.25">
      <c r="A49" t="str">
        <f>VLOOKUP(APOCOCO[[#This Row],[Product ID]],STORE[[#All],[Product ID]:[Product Name]],2,0)</f>
        <v xml:space="preserve">Stainless Steel Axe </v>
      </c>
      <c r="G49" t="s">
        <v>17</v>
      </c>
      <c r="H49" t="str">
        <f>VLOOKUP(APOCOCO[[#This Row],[Product ID]],STORE[[#All],[Product ID]:[Product Name]],2,0)</f>
        <v xml:space="preserve">Stainless Steel Axe </v>
      </c>
      <c r="I49">
        <v>27</v>
      </c>
    </row>
    <row r="50" spans="1:9" x14ac:dyDescent="0.25">
      <c r="A50" t="str">
        <f>VLOOKUP(APOCOCO[[#This Row],[Product ID]],STORE[[#All],[Product ID]:[Product Name]],2,0)</f>
        <v>Weatherproof Jacket</v>
      </c>
      <c r="G50" t="s">
        <v>18</v>
      </c>
      <c r="H50" t="str">
        <f>VLOOKUP(APOCOCO[[#This Row],[Product ID]],STORE[[#All],[Product ID]:[Product Name]],2,0)</f>
        <v>Weatherproof Jacket</v>
      </c>
      <c r="I50">
        <v>6</v>
      </c>
    </row>
    <row r="51" spans="1:9" x14ac:dyDescent="0.25">
      <c r="A51" t="str">
        <f>VLOOKUP(APOCOCO[[#This Row],[Product ID]],STORE[[#All],[Product ID]:[Product Name]],2,0)</f>
        <v>Multitool Survivial Knife</v>
      </c>
      <c r="G51" t="s">
        <v>19</v>
      </c>
      <c r="H51" t="str">
        <f>VLOOKUP(APOCOCO[[#This Row],[Product ID]],STORE[[#All],[Product ID]:[Product Name]],2,0)</f>
        <v>Multitool Survivial Knife</v>
      </c>
      <c r="I51">
        <v>41</v>
      </c>
    </row>
    <row r="52" spans="1:9" x14ac:dyDescent="0.25">
      <c r="A52" t="str">
        <f>VLOOKUP(APOCOCO[[#This Row],[Product ID]],STORE[[#All],[Product ID]:[Product Name]],2,0)</f>
        <v>Duct Tape</v>
      </c>
      <c r="G52" t="s">
        <v>20</v>
      </c>
      <c r="H52" t="str">
        <f>VLOOKUP(APOCOCO[[#This Row],[Product ID]],STORE[[#All],[Product ID]:[Product Name]],2,0)</f>
        <v>Duct Tape</v>
      </c>
      <c r="I52">
        <v>36</v>
      </c>
    </row>
    <row r="53" spans="1:9" x14ac:dyDescent="0.25">
      <c r="A53" t="str">
        <f>VLOOKUP(APOCOCO[[#This Row],[Product ID]],STORE[[#All],[Product ID]:[Product Name]],2,0)</f>
        <v>Duct Tape</v>
      </c>
      <c r="G53" t="s">
        <v>17</v>
      </c>
      <c r="H53" t="str">
        <f>VLOOKUP(APOCOCO[[#This Row],[Product ID]],STORE[[#All],[Product ID]:[Product Name]],2,0)</f>
        <v>Duct Tape</v>
      </c>
      <c r="I53">
        <v>75</v>
      </c>
    </row>
    <row r="54" spans="1:9" x14ac:dyDescent="0.25">
      <c r="A54" t="str">
        <f>VLOOKUP(APOCOCO[[#This Row],[Product ID]],STORE[[#All],[Product ID]:[Product Name]],2,0)</f>
        <v>Duct Tape</v>
      </c>
      <c r="G54" t="s">
        <v>18</v>
      </c>
      <c r="H54" t="str">
        <f>VLOOKUP(APOCOCO[[#This Row],[Product ID]],STORE[[#All],[Product ID]:[Product Name]],2,0)</f>
        <v>Duct Tape</v>
      </c>
      <c r="I54">
        <v>32</v>
      </c>
    </row>
    <row r="55" spans="1:9" x14ac:dyDescent="0.25">
      <c r="A55" t="str">
        <f>VLOOKUP(APOCOCO[[#This Row],[Product ID]],STORE[[#All],[Product ID]:[Product Name]],2,0)</f>
        <v xml:space="preserve">Stainless Steel Axe </v>
      </c>
      <c r="G55" t="s">
        <v>19</v>
      </c>
      <c r="H55" t="str">
        <f>VLOOKUP(APOCOCO[[#This Row],[Product ID]],STORE[[#All],[Product ID]:[Product Name]],2,0)</f>
        <v xml:space="preserve">Stainless Steel Axe </v>
      </c>
      <c r="I55">
        <v>42</v>
      </c>
    </row>
    <row r="56" spans="1:9" x14ac:dyDescent="0.25">
      <c r="A56" t="str">
        <f>VLOOKUP(APOCOCO[[#This Row],[Product ID]],STORE[[#All],[Product ID]:[Product Name]],2,0)</f>
        <v>N95 Mask</v>
      </c>
      <c r="G56" t="s">
        <v>20</v>
      </c>
      <c r="H56" t="str">
        <f>VLOOKUP(APOCOCO[[#This Row],[Product ID]],STORE[[#All],[Product ID]:[Product Name]],2,0)</f>
        <v>N95 Mask</v>
      </c>
      <c r="I56">
        <v>5</v>
      </c>
    </row>
    <row r="57" spans="1:9" x14ac:dyDescent="0.25">
      <c r="A57" t="str">
        <f>VLOOKUP(APOCOCO[[#This Row],[Product ID]],STORE[[#All],[Product ID]:[Product Name]],2,0)</f>
        <v>N95 Mask</v>
      </c>
      <c r="G57" t="s">
        <v>17</v>
      </c>
      <c r="H57" t="str">
        <f>VLOOKUP(APOCOCO[[#This Row],[Product ID]],STORE[[#All],[Product ID]:[Product Name]],2,0)</f>
        <v>N95 Mask</v>
      </c>
      <c r="I57">
        <v>10</v>
      </c>
    </row>
    <row r="58" spans="1:9" x14ac:dyDescent="0.25">
      <c r="A58" t="str">
        <f>VLOOKUP(APOCOCO[[#This Row],[Product ID]],STORE[[#All],[Product ID]:[Product Name]],2,0)</f>
        <v>Nylon Rope</v>
      </c>
      <c r="G58" t="s">
        <v>18</v>
      </c>
      <c r="H58" t="str">
        <f>VLOOKUP(APOCOCO[[#This Row],[Product ID]],STORE[[#All],[Product ID]:[Product Name]],2,0)</f>
        <v>Nylon Rope</v>
      </c>
      <c r="I58">
        <v>70</v>
      </c>
    </row>
    <row r="59" spans="1:9" x14ac:dyDescent="0.25">
      <c r="A59" t="str">
        <f>VLOOKUP(APOCOCO[[#This Row],[Product ID]],STORE[[#All],[Product ID]:[Product Name]],2,0)</f>
        <v>Waterproof Matches</v>
      </c>
      <c r="G59" t="s">
        <v>19</v>
      </c>
      <c r="H59" t="str">
        <f>VLOOKUP(APOCOCO[[#This Row],[Product ID]],STORE[[#All],[Product ID]:[Product Name]],2,0)</f>
        <v>Waterproof Matches</v>
      </c>
      <c r="I59">
        <v>45</v>
      </c>
    </row>
    <row r="60" spans="1:9" x14ac:dyDescent="0.25">
      <c r="A60" t="str">
        <f>VLOOKUP(APOCOCO[[#This Row],[Product ID]],STORE[[#All],[Product ID]:[Product Name]],2,0)</f>
        <v>Solar Battery Flashlight</v>
      </c>
      <c r="G60" t="s">
        <v>20</v>
      </c>
      <c r="H60" t="str">
        <f>VLOOKUP(APOCOCO[[#This Row],[Product ID]],STORE[[#All],[Product ID]:[Product Name]],2,0)</f>
        <v>Solar Battery Flashlight</v>
      </c>
      <c r="I60">
        <v>53</v>
      </c>
    </row>
    <row r="61" spans="1:9" x14ac:dyDescent="0.25">
      <c r="A61" t="str">
        <f>VLOOKUP(APOCOCO[[#This Row],[Product ID]],STORE[[#All],[Product ID]:[Product Name]],2,0)</f>
        <v>N95 Mask</v>
      </c>
      <c r="G61" t="s">
        <v>17</v>
      </c>
      <c r="H61" t="str">
        <f>VLOOKUP(APOCOCO[[#This Row],[Product ID]],STORE[[#All],[Product ID]:[Product Name]],2,0)</f>
        <v>N95 Mask</v>
      </c>
      <c r="I61">
        <v>54</v>
      </c>
    </row>
    <row r="62" spans="1:9" x14ac:dyDescent="0.25">
      <c r="A62" t="str">
        <f>VLOOKUP(APOCOCO[[#This Row],[Product ID]],STORE[[#All],[Product ID]:[Product Name]],2,0)</f>
        <v xml:space="preserve">Stainless Steel Axe </v>
      </c>
      <c r="G62" t="s">
        <v>18</v>
      </c>
      <c r="H62" t="str">
        <f>VLOOKUP(APOCOCO[[#This Row],[Product ID]],STORE[[#All],[Product ID]:[Product Name]],2,0)</f>
        <v xml:space="preserve">Stainless Steel Axe </v>
      </c>
      <c r="I62">
        <v>26</v>
      </c>
    </row>
    <row r="63" spans="1:9" x14ac:dyDescent="0.25">
      <c r="A63" t="str">
        <f>VLOOKUP(APOCOCO[[#This Row],[Product ID]],STORE[[#All],[Product ID]:[Product Name]],2,0)</f>
        <v>Multitool Survivial Knife</v>
      </c>
      <c r="G63" t="s">
        <v>19</v>
      </c>
      <c r="H63" t="str">
        <f>VLOOKUP(APOCOCO[[#This Row],[Product ID]],STORE[[#All],[Product ID]:[Product Name]],2,0)</f>
        <v>Multitool Survivial Knife</v>
      </c>
      <c r="I63">
        <v>41</v>
      </c>
    </row>
    <row r="64" spans="1:9" x14ac:dyDescent="0.25">
      <c r="A64" t="str">
        <f>VLOOKUP(APOCOCO[[#This Row],[Product ID]],STORE[[#All],[Product ID]:[Product Name]],2,0)</f>
        <v>Waterproof Matches</v>
      </c>
      <c r="G64" t="s">
        <v>20</v>
      </c>
      <c r="H64" t="str">
        <f>VLOOKUP(APOCOCO[[#This Row],[Product ID]],STORE[[#All],[Product ID]:[Product Name]],2,0)</f>
        <v>Waterproof Matches</v>
      </c>
      <c r="I64">
        <v>54</v>
      </c>
    </row>
    <row r="65" spans="1:9" x14ac:dyDescent="0.25">
      <c r="A65" t="str">
        <f>VLOOKUP(APOCOCO[[#This Row],[Product ID]],STORE[[#All],[Product ID]:[Product Name]],2,0)</f>
        <v>Backpack</v>
      </c>
      <c r="G65" t="s">
        <v>17</v>
      </c>
      <c r="H65" t="str">
        <f>VLOOKUP(APOCOCO[[#This Row],[Product ID]],STORE[[#All],[Product ID]:[Product Name]],2,0)</f>
        <v>Backpack</v>
      </c>
      <c r="I65">
        <v>55</v>
      </c>
    </row>
    <row r="66" spans="1:9" x14ac:dyDescent="0.25">
      <c r="A66" t="str">
        <f>VLOOKUP(APOCOCO[[#This Row],[Product ID]],STORE[[#All],[Product ID]:[Product Name]],2,0)</f>
        <v>Nylon Rope</v>
      </c>
      <c r="G66" t="s">
        <v>19</v>
      </c>
      <c r="H66" t="str">
        <f>VLOOKUP(APOCOCO[[#This Row],[Product ID]],STORE[[#All],[Product ID]:[Product Name]],2,0)</f>
        <v>Nylon Rope</v>
      </c>
      <c r="I66">
        <v>17</v>
      </c>
    </row>
    <row r="67" spans="1:9" x14ac:dyDescent="0.25">
      <c r="A67" t="str">
        <f>VLOOKUP(APOCOCO[[#This Row],[Product ID]],STORE[[#All],[Product ID]:[Product Name]],2,0)</f>
        <v>Backpack</v>
      </c>
      <c r="G67" t="s">
        <v>17</v>
      </c>
      <c r="H67" t="str">
        <f>VLOOKUP(APOCOCO[[#This Row],[Product ID]],STORE[[#All],[Product ID]:[Product Name]],2,0)</f>
        <v>Backpack</v>
      </c>
      <c r="I67">
        <v>23</v>
      </c>
    </row>
    <row r="68" spans="1:9" x14ac:dyDescent="0.25">
      <c r="A68" t="str">
        <f>VLOOKUP(APOCOCO[[#This Row],[Product ID]],STORE[[#All],[Product ID]:[Product Name]],2,0)</f>
        <v>Nylon Rope</v>
      </c>
      <c r="G68" t="s">
        <v>19</v>
      </c>
      <c r="H68" t="str">
        <f>VLOOKUP(APOCOCO[[#This Row],[Product ID]],STORE[[#All],[Product ID]:[Product Name]],2,0)</f>
        <v>Nylon Rope</v>
      </c>
      <c r="I68">
        <v>48</v>
      </c>
    </row>
    <row r="69" spans="1:9" x14ac:dyDescent="0.25">
      <c r="A69" t="str">
        <f>VLOOKUP(APOCOCO[[#This Row],[Product ID]],STORE[[#All],[Product ID]:[Product Name]],2,0)</f>
        <v>Backpack</v>
      </c>
      <c r="G69" t="s">
        <v>18</v>
      </c>
      <c r="H69" t="str">
        <f>VLOOKUP(APOCOCO[[#This Row],[Product ID]],STORE[[#All],[Product ID]:[Product Name]],2,0)</f>
        <v>Backpack</v>
      </c>
      <c r="I69">
        <v>61</v>
      </c>
    </row>
    <row r="70" spans="1:9" x14ac:dyDescent="0.25">
      <c r="A70" t="str">
        <f>VLOOKUP(APOCOCO[[#This Row],[Product ID]],STORE[[#All],[Product ID]:[Product Name]],2,0)</f>
        <v>N95 Mask</v>
      </c>
      <c r="G70" t="s">
        <v>19</v>
      </c>
      <c r="H70" t="str">
        <f>VLOOKUP(APOCOCO[[#This Row],[Product ID]],STORE[[#All],[Product ID]:[Product Name]],2,0)</f>
        <v>N95 Mask</v>
      </c>
      <c r="I70">
        <v>23</v>
      </c>
    </row>
    <row r="71" spans="1:9" x14ac:dyDescent="0.25">
      <c r="A71" t="str">
        <f>VLOOKUP(APOCOCO[[#This Row],[Product ID]],STORE[[#All],[Product ID]:[Product Name]],2,0)</f>
        <v>Weatherproof Jacket</v>
      </c>
      <c r="G71" t="s">
        <v>20</v>
      </c>
      <c r="H71" t="str">
        <f>VLOOKUP(APOCOCO[[#This Row],[Product ID]],STORE[[#All],[Product ID]:[Product Name]],2,0)</f>
        <v>Weatherproof Jacket</v>
      </c>
      <c r="I71">
        <v>41</v>
      </c>
    </row>
    <row r="72" spans="1:9" x14ac:dyDescent="0.25">
      <c r="A72" t="str">
        <f>VLOOKUP(APOCOCO[[#This Row],[Product ID]],STORE[[#All],[Product ID]:[Product Name]],2,0)</f>
        <v>Water Purifier</v>
      </c>
      <c r="G72" t="s">
        <v>17</v>
      </c>
      <c r="H72" t="str">
        <f>VLOOKUP(APOCOCO[[#This Row],[Product ID]],STORE[[#All],[Product ID]:[Product Name]],2,0)</f>
        <v>Water Purifier</v>
      </c>
      <c r="I72">
        <v>37</v>
      </c>
    </row>
    <row r="73" spans="1:9" x14ac:dyDescent="0.25">
      <c r="A73" t="str">
        <f>VLOOKUP(APOCOCO[[#This Row],[Product ID]],STORE[[#All],[Product ID]:[Product Name]],2,0)</f>
        <v>Multitool Survivial Knife</v>
      </c>
      <c r="G73" t="s">
        <v>19</v>
      </c>
      <c r="H73" t="str">
        <f>VLOOKUP(APOCOCO[[#This Row],[Product ID]],STORE[[#All],[Product ID]:[Product Name]],2,0)</f>
        <v>Multitool Survivial Knife</v>
      </c>
      <c r="I73">
        <v>24</v>
      </c>
    </row>
    <row r="74" spans="1:9" x14ac:dyDescent="0.25">
      <c r="A74" t="str">
        <f>VLOOKUP(APOCOCO[[#This Row],[Product ID]],STORE[[#All],[Product ID]:[Product Name]],2,0)</f>
        <v>Waterproof Matches</v>
      </c>
      <c r="G74" t="s">
        <v>17</v>
      </c>
      <c r="H74" t="str">
        <f>VLOOKUP(APOCOCO[[#This Row],[Product ID]],STORE[[#All],[Product ID]:[Product Name]],2,0)</f>
        <v>Waterproof Matches</v>
      </c>
      <c r="I74">
        <v>59</v>
      </c>
    </row>
    <row r="75" spans="1:9" x14ac:dyDescent="0.25">
      <c r="A75" t="str">
        <f>VLOOKUP(APOCOCO[[#This Row],[Product ID]],STORE[[#All],[Product ID]:[Product Name]],2,0)</f>
        <v>Nylon Rope</v>
      </c>
      <c r="G75" t="s">
        <v>19</v>
      </c>
      <c r="H75" t="str">
        <f>VLOOKUP(APOCOCO[[#This Row],[Product ID]],STORE[[#All],[Product ID]:[Product Name]],2,0)</f>
        <v>Nylon Rope</v>
      </c>
      <c r="I75">
        <v>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6F21B53-80C9-44EE-8D6B-7EAABE5AEF3D}">
  <ds:schemaRefs/>
</ds:datastoreItem>
</file>

<file path=customXml/itemProps2.xml><?xml version="1.0" encoding="utf-8"?>
<ds:datastoreItem xmlns:ds="http://schemas.openxmlformats.org/officeDocument/2006/customXml" ds:itemID="{66C24240-B222-42EE-A7C4-20DB59306067}">
  <ds:schemaRefs/>
</ds:datastoreItem>
</file>

<file path=customXml/itemProps3.xml><?xml version="1.0" encoding="utf-8"?>
<ds:datastoreItem xmlns:ds="http://schemas.openxmlformats.org/officeDocument/2006/customXml" ds:itemID="{0EE0E8CB-19FE-47B5-B127-2615E1481764}">
  <ds:schemaRefs/>
</ds:datastoreItem>
</file>

<file path=customXml/itemProps4.xml><?xml version="1.0" encoding="utf-8"?>
<ds:datastoreItem xmlns:ds="http://schemas.openxmlformats.org/officeDocument/2006/customXml" ds:itemID="{D7BB0CAD-5598-4582-BF81-92B3AE705F2E}">
  <ds:schemaRefs/>
</ds:datastoreItem>
</file>

<file path=customXml/itemProps5.xml><?xml version="1.0" encoding="utf-8"?>
<ds:datastoreItem xmlns:ds="http://schemas.openxmlformats.org/officeDocument/2006/customXml" ds:itemID="{05E9AA63-8E86-4664-A05D-D1F60EBCF08E}">
  <ds:schemaRefs/>
</ds:datastoreItem>
</file>

<file path=customXml/itemProps6.xml><?xml version="1.0" encoding="utf-8"?>
<ds:datastoreItem xmlns:ds="http://schemas.openxmlformats.org/officeDocument/2006/customXml" ds:itemID="{E4888C77-A063-4B53-8ACD-AE9E892AD576}">
  <ds:schemaRefs/>
</ds:datastoreItem>
</file>

<file path=customXml/itemProps7.xml><?xml version="1.0" encoding="utf-8"?>
<ds:datastoreItem xmlns:ds="http://schemas.openxmlformats.org/officeDocument/2006/customXml" ds:itemID="{E0E3CEE9-5464-4C8D-847C-7CABFCE40B51}">
  <ds:schemaRefs/>
</ds:datastoreItem>
</file>

<file path=customXml/itemProps8.xml><?xml version="1.0" encoding="utf-8"?>
<ds:datastoreItem xmlns:ds="http://schemas.openxmlformats.org/officeDocument/2006/customXml" ds:itemID="{F70201D1-527C-433B-B556-FE508D632B36}">
  <ds:schemaRefs/>
</ds:datastoreItem>
</file>

<file path=customXml/itemProps9.xml><?xml version="1.0" encoding="utf-8"?>
<ds:datastoreItem xmlns:ds="http://schemas.openxmlformats.org/officeDocument/2006/customXml" ds:itemID="{8B9FDAAB-9271-4BDE-979A-92D87D90B64E}">
  <ds:schemaRefs/>
</ds:datastoreItem>
</file>

<file path=customXml/itemProps10.xml><?xml version="1.0" encoding="utf-8"?>
<ds:datastoreItem xmlns:ds="http://schemas.openxmlformats.org/officeDocument/2006/customXml" ds:itemID="{A7C9A3C6-7F7E-4DF7-8760-405FD8B3BFBC}">
  <ds:schemaRefs/>
</ds:datastoreItem>
</file>

<file path=customXml/itemProps11.xml><?xml version="1.0" encoding="utf-8"?>
<ds:datastoreItem xmlns:ds="http://schemas.openxmlformats.org/officeDocument/2006/customXml" ds:itemID="{13014C6B-09FD-4B3D-A919-F6745553CC97}">
  <ds:schemaRefs/>
</ds:datastoreItem>
</file>

<file path=customXml/itemProps12.xml><?xml version="1.0" encoding="utf-8"?>
<ds:datastoreItem xmlns:ds="http://schemas.openxmlformats.org/officeDocument/2006/customXml" ds:itemID="{9323256D-655B-4C0B-980B-62E515163233}">
  <ds:schemaRefs/>
</ds:datastoreItem>
</file>

<file path=customXml/itemProps13.xml><?xml version="1.0" encoding="utf-8"?>
<ds:datastoreItem xmlns:ds="http://schemas.openxmlformats.org/officeDocument/2006/customXml" ds:itemID="{5F8D10A6-52D2-4DE7-8CC0-C59D1D62A098}">
  <ds:schemaRefs/>
</ds:datastoreItem>
</file>

<file path=customXml/itemProps14.xml><?xml version="1.0" encoding="utf-8"?>
<ds:datastoreItem xmlns:ds="http://schemas.openxmlformats.org/officeDocument/2006/customXml" ds:itemID="{CA5D032B-E55F-4EF5-A792-71FFD563B1ED}">
  <ds:schemaRefs/>
</ds:datastoreItem>
</file>

<file path=customXml/itemProps15.xml><?xml version="1.0" encoding="utf-8"?>
<ds:datastoreItem xmlns:ds="http://schemas.openxmlformats.org/officeDocument/2006/customXml" ds:itemID="{D54F7B75-BDE1-4D9E-8C28-48B6319C226D}">
  <ds:schemaRefs/>
</ds:datastoreItem>
</file>

<file path=customXml/itemProps16.xml><?xml version="1.0" encoding="utf-8"?>
<ds:datastoreItem xmlns:ds="http://schemas.openxmlformats.org/officeDocument/2006/customXml" ds:itemID="{197E65D7-1391-41A1-8D47-760AD35F196C}">
  <ds:schemaRefs/>
</ds:datastoreItem>
</file>

<file path=customXml/itemProps17.xml><?xml version="1.0" encoding="utf-8"?>
<ds:datastoreItem xmlns:ds="http://schemas.openxmlformats.org/officeDocument/2006/customXml" ds:itemID="{F3F08099-2A8D-4936-B066-DFF2A8175D84}">
  <ds:schemaRefs/>
</ds:datastoreItem>
</file>

<file path=customXml/itemProps18.xml><?xml version="1.0" encoding="utf-8"?>
<ds:datastoreItem xmlns:ds="http://schemas.openxmlformats.org/officeDocument/2006/customXml" ds:itemID="{C447A424-3EE5-4697-99BA-9EBE800461DA}">
  <ds:schemaRefs/>
</ds:datastoreItem>
</file>

<file path=customXml/itemProps19.xml><?xml version="1.0" encoding="utf-8"?>
<ds:datastoreItem xmlns:ds="http://schemas.openxmlformats.org/officeDocument/2006/customXml" ds:itemID="{7035588C-1782-4D10-8BE5-4CF29912F5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Apocolypse Store</vt:lpstr>
      <vt:lpstr>Apocolypse Sales</vt:lpstr>
      <vt:lpstr>Sheet5</vt:lpstr>
      <vt:lpstr>Sheet6</vt:lpstr>
      <vt:lpstr>Sheet7</vt:lpstr>
      <vt:lpstr>Sheet8</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Admin</cp:lastModifiedBy>
  <dcterms:created xsi:type="dcterms:W3CDTF">2022-04-22T14:13:11Z</dcterms:created>
  <dcterms:modified xsi:type="dcterms:W3CDTF">2024-03-13T10:21:09Z</dcterms:modified>
</cp:coreProperties>
</file>